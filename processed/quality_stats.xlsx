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tupitza/Library/CloudStorage/OneDrive-SCCWRP/CalEMP-eDNA/processed/"/>
    </mc:Choice>
  </mc:AlternateContent>
  <xr:revisionPtr revIDLastSave="0" documentId="13_ncr:1_{F2D07348-D9D4-A847-8D45-8B42C0E77AA8}" xr6:coauthVersionLast="47" xr6:coauthVersionMax="47" xr10:uidLastSave="{00000000-0000-0000-0000-000000000000}"/>
  <bookViews>
    <workbookView xWindow="4180" yWindow="3820" windowWidth="26040" windowHeight="14940" activeTab="2" xr2:uid="{1268A6A4-0D04-114B-9EC8-D9C4FA931483}"/>
  </bookViews>
  <sheets>
    <sheet name="070726 stats" sheetId="1" r:id="rId1"/>
    <sheet name="093026 stats" sheetId="2" r:id="rId2"/>
    <sheet name="091726 sta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1" i="2" l="1"/>
  <c r="C79" i="3"/>
  <c r="C76" i="3"/>
  <c r="A76" i="3"/>
  <c r="H218" i="2"/>
  <c r="F218" i="2"/>
  <c r="D218" i="2"/>
  <c r="A218" i="2"/>
  <c r="B2" i="2"/>
</calcChain>
</file>

<file path=xl/sharedStrings.xml><?xml version="1.0" encoding="utf-8"?>
<sst xmlns="http://schemas.openxmlformats.org/spreadsheetml/2006/main" count="23" uniqueCount="13">
  <si>
    <t>trunc170</t>
  </si>
  <si>
    <t>trunc160</t>
  </si>
  <si>
    <t>reads merged</t>
  </si>
  <si>
    <t>AVERAGE</t>
  </si>
  <si>
    <t>TOTAL READS</t>
  </si>
  <si>
    <t>percent assigned</t>
  </si>
  <si>
    <t>avg_per_passed (trunc170)</t>
  </si>
  <si>
    <t>perc_passed_truc170</t>
  </si>
  <si>
    <t>per_passed_trunc160</t>
  </si>
  <si>
    <t>\</t>
  </si>
  <si>
    <t>reads_merged_trunc160</t>
  </si>
  <si>
    <t>per_passed_trunc</t>
  </si>
  <si>
    <t>TOTALREADS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</si>
</sst>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E0DA-6895-0D47-AA44-08A75721B3A7}">
  <dimension ref="B1:H30"/>
  <sheetViews>
    <sheetView topLeftCell="A5" workbookViewId="0">
      <selection activeCell="G27" sqref="G27"/>
    </sheetView>
  </sheetViews>
  <sheetFormatPr baseColWidth="10" defaultRowHeight="16" x14ac:dyDescent="0.2"/>
  <sheetData>
    <row r="1" spans="2:8" x14ac:dyDescent="0.2">
      <c r="B1" t="s">
        <v>0</v>
      </c>
      <c r="C1" t="s">
        <v>1</v>
      </c>
      <c r="E1" t="s">
        <v>2</v>
      </c>
      <c r="H1" t="s">
        <v>5</v>
      </c>
    </row>
    <row r="2" spans="2:8" x14ac:dyDescent="0.2">
      <c r="B2">
        <v>80.680000000000007</v>
      </c>
      <c r="C2">
        <v>81.709999999999994</v>
      </c>
      <c r="E2">
        <v>98194</v>
      </c>
    </row>
    <row r="3" spans="2:8" x14ac:dyDescent="0.2">
      <c r="B3">
        <v>87.79</v>
      </c>
      <c r="C3">
        <v>88.35</v>
      </c>
      <c r="E3">
        <v>124449</v>
      </c>
    </row>
    <row r="4" spans="2:8" x14ac:dyDescent="0.2">
      <c r="B4">
        <v>89.93</v>
      </c>
      <c r="C4">
        <v>90.45</v>
      </c>
      <c r="E4">
        <v>111410</v>
      </c>
    </row>
    <row r="5" spans="2:8" x14ac:dyDescent="0.2">
      <c r="B5">
        <v>86.66</v>
      </c>
      <c r="C5">
        <v>87.29</v>
      </c>
      <c r="E5">
        <v>96155</v>
      </c>
    </row>
    <row r="6" spans="2:8" x14ac:dyDescent="0.2">
      <c r="B6">
        <v>91.25</v>
      </c>
      <c r="C6">
        <v>91.93</v>
      </c>
      <c r="E6">
        <v>85538</v>
      </c>
    </row>
    <row r="7" spans="2:8" x14ac:dyDescent="0.2">
      <c r="B7">
        <v>92.36</v>
      </c>
      <c r="C7">
        <v>92.98</v>
      </c>
      <c r="E7">
        <v>82765</v>
      </c>
    </row>
    <row r="8" spans="2:8" x14ac:dyDescent="0.2">
      <c r="B8">
        <v>79.540000000000006</v>
      </c>
      <c r="C8">
        <v>80.37</v>
      </c>
      <c r="E8">
        <v>45773</v>
      </c>
    </row>
    <row r="9" spans="2:8" x14ac:dyDescent="0.2">
      <c r="B9">
        <v>86.64</v>
      </c>
      <c r="C9">
        <v>87.17</v>
      </c>
      <c r="E9">
        <v>73588</v>
      </c>
    </row>
    <row r="10" spans="2:8" x14ac:dyDescent="0.2">
      <c r="B10">
        <v>86.9</v>
      </c>
      <c r="C10">
        <v>87.6</v>
      </c>
      <c r="E10">
        <v>77202</v>
      </c>
    </row>
    <row r="11" spans="2:8" x14ac:dyDescent="0.2">
      <c r="B11">
        <v>90.5</v>
      </c>
      <c r="C11">
        <v>89.64</v>
      </c>
      <c r="E11">
        <v>91501</v>
      </c>
    </row>
    <row r="12" spans="2:8" x14ac:dyDescent="0.2">
      <c r="B12">
        <v>86.03</v>
      </c>
      <c r="C12">
        <v>86.77</v>
      </c>
      <c r="E12">
        <v>105047</v>
      </c>
    </row>
    <row r="13" spans="2:8" x14ac:dyDescent="0.2">
      <c r="B13">
        <v>82.52</v>
      </c>
      <c r="C13">
        <v>83.18</v>
      </c>
      <c r="E13">
        <v>93266</v>
      </c>
    </row>
    <row r="14" spans="2:8" x14ac:dyDescent="0.2">
      <c r="B14">
        <v>91.95</v>
      </c>
      <c r="C14">
        <v>92.76</v>
      </c>
      <c r="E14">
        <v>85509</v>
      </c>
    </row>
    <row r="15" spans="2:8" x14ac:dyDescent="0.2">
      <c r="B15">
        <v>87.04</v>
      </c>
      <c r="C15">
        <v>87.75</v>
      </c>
      <c r="E15">
        <v>94293</v>
      </c>
    </row>
    <row r="16" spans="2:8" x14ac:dyDescent="0.2">
      <c r="B16">
        <v>87.13</v>
      </c>
      <c r="C16">
        <v>84.88</v>
      </c>
      <c r="E16">
        <v>71384</v>
      </c>
    </row>
    <row r="17" spans="2:5" x14ac:dyDescent="0.2">
      <c r="B17">
        <v>86.24</v>
      </c>
      <c r="C17">
        <v>86.78</v>
      </c>
      <c r="E17">
        <v>42809</v>
      </c>
    </row>
    <row r="18" spans="2:5" x14ac:dyDescent="0.2">
      <c r="B18">
        <v>89.16</v>
      </c>
      <c r="C18">
        <v>89.83</v>
      </c>
      <c r="E18">
        <v>78658</v>
      </c>
    </row>
    <row r="19" spans="2:5" x14ac:dyDescent="0.2">
      <c r="B19">
        <v>85.82</v>
      </c>
      <c r="C19">
        <v>86.64</v>
      </c>
      <c r="E19">
        <v>74899</v>
      </c>
    </row>
    <row r="20" spans="2:5" x14ac:dyDescent="0.2">
      <c r="B20">
        <v>87.02</v>
      </c>
      <c r="C20">
        <v>87.58</v>
      </c>
      <c r="E20">
        <v>99882</v>
      </c>
    </row>
    <row r="21" spans="2:5" x14ac:dyDescent="0.2">
      <c r="B21">
        <v>86.81</v>
      </c>
      <c r="C21">
        <v>87.12</v>
      </c>
      <c r="E21">
        <v>81560</v>
      </c>
    </row>
    <row r="22" spans="2:5" x14ac:dyDescent="0.2">
      <c r="B22">
        <v>91.08</v>
      </c>
      <c r="C22">
        <v>91.64</v>
      </c>
      <c r="E22">
        <v>98986</v>
      </c>
    </row>
    <row r="23" spans="2:5" x14ac:dyDescent="0.2">
      <c r="B23">
        <v>87.57</v>
      </c>
      <c r="C23">
        <v>88.09</v>
      </c>
      <c r="E23">
        <v>106291</v>
      </c>
    </row>
    <row r="24" spans="2:5" x14ac:dyDescent="0.2">
      <c r="B24">
        <v>88.52</v>
      </c>
      <c r="C24">
        <v>89.18</v>
      </c>
      <c r="E24">
        <v>76120</v>
      </c>
    </row>
    <row r="25" spans="2:5" x14ac:dyDescent="0.2">
      <c r="B25">
        <v>87.92</v>
      </c>
      <c r="C25">
        <v>88.48</v>
      </c>
      <c r="E25">
        <v>74058</v>
      </c>
    </row>
    <row r="26" spans="2:5" x14ac:dyDescent="0.2">
      <c r="B26">
        <v>85.68</v>
      </c>
      <c r="C26">
        <v>86.32</v>
      </c>
      <c r="E26">
        <v>86435</v>
      </c>
    </row>
    <row r="27" spans="2:5" x14ac:dyDescent="0.2">
      <c r="B27">
        <v>87.82</v>
      </c>
      <c r="C27">
        <v>88.31</v>
      </c>
      <c r="E27">
        <v>51260</v>
      </c>
    </row>
    <row r="28" spans="2:5" x14ac:dyDescent="0.2">
      <c r="B28">
        <v>88.58</v>
      </c>
      <c r="C28">
        <v>89.09</v>
      </c>
      <c r="E28">
        <v>76086</v>
      </c>
    </row>
    <row r="29" spans="2:5" x14ac:dyDescent="0.2">
      <c r="B29" t="s">
        <v>3</v>
      </c>
      <c r="C29" t="s">
        <v>3</v>
      </c>
      <c r="E29" t="s">
        <v>4</v>
      </c>
    </row>
    <row r="30" spans="2:5" x14ac:dyDescent="0.2">
      <c r="B30">
        <v>87.37555555555555</v>
      </c>
      <c r="C30" s="2">
        <v>87.847777777777779</v>
      </c>
      <c r="E30" s="2">
        <v>2283118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23C3-59EE-EE44-929F-B4D5D5F8D522}">
  <dimension ref="A1:H221"/>
  <sheetViews>
    <sheetView topLeftCell="A214" workbookViewId="0">
      <selection activeCell="E226" sqref="E226"/>
    </sheetView>
  </sheetViews>
  <sheetFormatPr baseColWidth="10" defaultRowHeight="16" x14ac:dyDescent="0.2"/>
  <cols>
    <col min="1" max="1" width="27" customWidth="1"/>
  </cols>
  <sheetData>
    <row r="1" spans="1:8" x14ac:dyDescent="0.2">
      <c r="A1" t="s">
        <v>7</v>
      </c>
      <c r="B1" t="s">
        <v>6</v>
      </c>
      <c r="D1" t="s">
        <v>2</v>
      </c>
      <c r="F1" t="s">
        <v>8</v>
      </c>
      <c r="H1" t="s">
        <v>10</v>
      </c>
    </row>
    <row r="2" spans="1:8" x14ac:dyDescent="0.2">
      <c r="A2" s="1">
        <v>88.96</v>
      </c>
      <c r="B2">
        <f>AVERAGE(A2:A215)</f>
        <v>89.864252336448629</v>
      </c>
      <c r="D2" s="1">
        <v>39329</v>
      </c>
      <c r="F2" s="1">
        <v>89.73</v>
      </c>
      <c r="G2" t="s">
        <v>9</v>
      </c>
      <c r="H2" s="1">
        <v>39673</v>
      </c>
    </row>
    <row r="3" spans="1:8" x14ac:dyDescent="0.2">
      <c r="A3" s="1">
        <v>93.54</v>
      </c>
      <c r="D3" s="1">
        <v>23684</v>
      </c>
      <c r="F3" s="1">
        <v>94.29</v>
      </c>
      <c r="H3" s="1">
        <v>23875</v>
      </c>
    </row>
    <row r="4" spans="1:8" x14ac:dyDescent="0.2">
      <c r="A4" s="1">
        <v>88.62</v>
      </c>
      <c r="D4" s="1">
        <v>15857</v>
      </c>
      <c r="F4" s="1">
        <v>89.39</v>
      </c>
      <c r="H4" s="1">
        <v>15994</v>
      </c>
    </row>
    <row r="5" spans="1:8" x14ac:dyDescent="0.2">
      <c r="A5" s="1">
        <v>93.05</v>
      </c>
      <c r="D5" s="1">
        <v>47002</v>
      </c>
      <c r="F5" s="1">
        <v>93.85</v>
      </c>
      <c r="H5" s="1">
        <v>47408</v>
      </c>
    </row>
    <row r="6" spans="1:8" x14ac:dyDescent="0.2">
      <c r="A6" s="1">
        <v>93.4</v>
      </c>
      <c r="D6" s="1">
        <v>43213</v>
      </c>
      <c r="F6" s="1">
        <v>94.06</v>
      </c>
      <c r="H6" s="1">
        <v>43515</v>
      </c>
    </row>
    <row r="7" spans="1:8" x14ac:dyDescent="0.2">
      <c r="A7" s="1">
        <v>89.41</v>
      </c>
      <c r="D7" s="1">
        <v>29275</v>
      </c>
      <c r="F7" s="1">
        <v>90.58</v>
      </c>
      <c r="H7" s="1">
        <v>29658</v>
      </c>
    </row>
    <row r="8" spans="1:8" x14ac:dyDescent="0.2">
      <c r="A8" s="1">
        <v>91.67</v>
      </c>
      <c r="D8" s="1">
        <v>27510</v>
      </c>
      <c r="F8" s="1">
        <v>92.38</v>
      </c>
      <c r="H8" s="1">
        <v>27723</v>
      </c>
    </row>
    <row r="9" spans="1:8" x14ac:dyDescent="0.2">
      <c r="A9" s="1">
        <v>92.58</v>
      </c>
      <c r="D9" s="1">
        <v>33177</v>
      </c>
      <c r="F9" s="1">
        <v>93.33</v>
      </c>
      <c r="H9" s="1">
        <v>33444</v>
      </c>
    </row>
    <row r="10" spans="1:8" x14ac:dyDescent="0.2">
      <c r="A10" s="1">
        <v>93.02</v>
      </c>
      <c r="D10" s="1">
        <v>34538</v>
      </c>
      <c r="F10" s="1">
        <v>93.76</v>
      </c>
      <c r="H10" s="1">
        <v>34813</v>
      </c>
    </row>
    <row r="11" spans="1:8" x14ac:dyDescent="0.2">
      <c r="A11" s="1">
        <v>94.22</v>
      </c>
      <c r="D11" s="1">
        <v>32176</v>
      </c>
      <c r="F11" s="1">
        <v>95.09</v>
      </c>
      <c r="H11" s="1">
        <v>32472</v>
      </c>
    </row>
    <row r="12" spans="1:8" x14ac:dyDescent="0.2">
      <c r="A12" s="1">
        <v>92.13</v>
      </c>
      <c r="D12" s="1">
        <v>36244</v>
      </c>
      <c r="F12" s="1">
        <v>92.76</v>
      </c>
      <c r="H12" s="1">
        <v>36492</v>
      </c>
    </row>
    <row r="13" spans="1:8" x14ac:dyDescent="0.2">
      <c r="A13" s="1">
        <v>90.63</v>
      </c>
      <c r="D13" s="1">
        <v>41786</v>
      </c>
      <c r="F13" s="1">
        <v>90.01</v>
      </c>
      <c r="H13" s="1">
        <v>41498</v>
      </c>
    </row>
    <row r="14" spans="1:8" x14ac:dyDescent="0.2">
      <c r="A14" s="1">
        <v>92.2</v>
      </c>
      <c r="D14" s="1">
        <v>34214</v>
      </c>
      <c r="F14" s="1">
        <v>92.82</v>
      </c>
      <c r="H14" s="1">
        <v>34445</v>
      </c>
    </row>
    <row r="15" spans="1:8" x14ac:dyDescent="0.2">
      <c r="A15" s="1">
        <v>89.49</v>
      </c>
      <c r="D15" s="1">
        <v>31488</v>
      </c>
      <c r="F15" s="1">
        <v>90.08</v>
      </c>
      <c r="H15" s="1">
        <v>31698</v>
      </c>
    </row>
    <row r="16" spans="1:8" x14ac:dyDescent="0.2">
      <c r="A16" s="1">
        <v>93.36</v>
      </c>
      <c r="D16" s="1">
        <v>25345</v>
      </c>
      <c r="F16" s="1">
        <v>93.91</v>
      </c>
      <c r="H16" s="1">
        <v>25496</v>
      </c>
    </row>
    <row r="17" spans="1:8" x14ac:dyDescent="0.2">
      <c r="A17" s="1">
        <v>77.34</v>
      </c>
      <c r="D17" s="1">
        <v>26656</v>
      </c>
      <c r="F17" s="1">
        <v>79.099999999999994</v>
      </c>
      <c r="H17" s="1">
        <v>27265</v>
      </c>
    </row>
    <row r="18" spans="1:8" x14ac:dyDescent="0.2">
      <c r="A18" s="1">
        <v>87.03</v>
      </c>
      <c r="D18" s="1">
        <v>28626</v>
      </c>
      <c r="F18" s="1">
        <v>87.6</v>
      </c>
      <c r="H18" s="1">
        <v>28813</v>
      </c>
    </row>
    <row r="19" spans="1:8" x14ac:dyDescent="0.2">
      <c r="A19" s="1">
        <v>88.62</v>
      </c>
      <c r="D19" s="1">
        <v>34786</v>
      </c>
      <c r="F19" s="1">
        <v>88.86</v>
      </c>
      <c r="H19" s="1">
        <v>34880</v>
      </c>
    </row>
    <row r="20" spans="1:8" x14ac:dyDescent="0.2">
      <c r="A20" s="1">
        <v>85.07</v>
      </c>
      <c r="D20" s="1">
        <v>42269</v>
      </c>
      <c r="F20" s="1">
        <v>85.68</v>
      </c>
      <c r="H20" s="1">
        <v>42569</v>
      </c>
    </row>
    <row r="21" spans="1:8" x14ac:dyDescent="0.2">
      <c r="A21" s="1">
        <v>88.06</v>
      </c>
      <c r="D21" s="1">
        <v>27787</v>
      </c>
      <c r="F21" s="1">
        <v>88.54</v>
      </c>
      <c r="H21" s="1">
        <v>27938</v>
      </c>
    </row>
    <row r="22" spans="1:8" x14ac:dyDescent="0.2">
      <c r="A22" s="1">
        <v>88.27</v>
      </c>
      <c r="D22" s="1">
        <v>31090</v>
      </c>
      <c r="F22" s="1">
        <v>88.79</v>
      </c>
      <c r="H22" s="1">
        <v>31273</v>
      </c>
    </row>
    <row r="23" spans="1:8" x14ac:dyDescent="0.2">
      <c r="A23" s="1">
        <v>87.94</v>
      </c>
      <c r="D23" s="1">
        <v>31017</v>
      </c>
      <c r="F23" s="1">
        <v>88.6</v>
      </c>
      <c r="H23" s="1">
        <v>31250</v>
      </c>
    </row>
    <row r="24" spans="1:8" x14ac:dyDescent="0.2">
      <c r="A24" s="1">
        <v>92.49</v>
      </c>
      <c r="D24" s="1">
        <v>41559</v>
      </c>
      <c r="F24" s="1">
        <v>93.16</v>
      </c>
      <c r="H24" s="1">
        <v>41858</v>
      </c>
    </row>
    <row r="25" spans="1:8" x14ac:dyDescent="0.2">
      <c r="A25" s="1">
        <v>92.04</v>
      </c>
      <c r="D25" s="1">
        <v>30122</v>
      </c>
      <c r="F25" s="1">
        <v>92.69</v>
      </c>
      <c r="H25" s="1">
        <v>30336</v>
      </c>
    </row>
    <row r="26" spans="1:8" x14ac:dyDescent="0.2">
      <c r="A26" s="1">
        <v>93.14</v>
      </c>
      <c r="D26" s="1">
        <v>35350</v>
      </c>
      <c r="F26" s="1">
        <v>93.92</v>
      </c>
      <c r="H26" s="1">
        <v>35649</v>
      </c>
    </row>
    <row r="27" spans="1:8" x14ac:dyDescent="0.2">
      <c r="A27" s="1">
        <v>92.8</v>
      </c>
      <c r="D27" s="1">
        <v>17317</v>
      </c>
      <c r="F27" s="1">
        <v>93.42</v>
      </c>
      <c r="H27" s="1">
        <v>17434</v>
      </c>
    </row>
    <row r="28" spans="1:8" x14ac:dyDescent="0.2">
      <c r="A28" s="1">
        <v>94.59</v>
      </c>
      <c r="D28" s="1">
        <v>34938</v>
      </c>
      <c r="F28" s="1">
        <v>95.15</v>
      </c>
      <c r="H28" s="1">
        <v>35147</v>
      </c>
    </row>
    <row r="29" spans="1:8" x14ac:dyDescent="0.2">
      <c r="A29" s="1">
        <v>88.12</v>
      </c>
      <c r="D29" s="1">
        <v>37747</v>
      </c>
      <c r="F29" s="1">
        <v>88.79</v>
      </c>
      <c r="H29" s="1">
        <v>38033</v>
      </c>
    </row>
    <row r="30" spans="1:8" x14ac:dyDescent="0.2">
      <c r="A30" s="1">
        <v>86.31</v>
      </c>
      <c r="D30" s="1">
        <v>40398</v>
      </c>
      <c r="F30" s="1">
        <v>87.2</v>
      </c>
      <c r="H30" s="1">
        <v>40816</v>
      </c>
    </row>
    <row r="31" spans="1:8" x14ac:dyDescent="0.2">
      <c r="A31" s="1">
        <v>91.6</v>
      </c>
      <c r="D31" s="1">
        <v>35316</v>
      </c>
      <c r="F31" s="1">
        <v>92.35</v>
      </c>
      <c r="H31" s="1">
        <v>35602</v>
      </c>
    </row>
    <row r="32" spans="1:8" x14ac:dyDescent="0.2">
      <c r="A32" s="1">
        <v>88.97</v>
      </c>
      <c r="D32" s="1">
        <v>36333</v>
      </c>
      <c r="F32" s="1">
        <v>89.77</v>
      </c>
      <c r="H32" s="1">
        <v>36660</v>
      </c>
    </row>
    <row r="33" spans="1:8" x14ac:dyDescent="0.2">
      <c r="A33" s="1">
        <v>90.2</v>
      </c>
      <c r="D33" s="1">
        <v>39099</v>
      </c>
      <c r="F33" s="1">
        <v>90.81</v>
      </c>
      <c r="H33" s="1">
        <v>39364</v>
      </c>
    </row>
    <row r="34" spans="1:8" x14ac:dyDescent="0.2">
      <c r="A34" s="1">
        <v>88.17</v>
      </c>
      <c r="D34" s="1">
        <v>25462</v>
      </c>
      <c r="F34" s="1">
        <v>89.2</v>
      </c>
      <c r="H34" s="1">
        <v>25759</v>
      </c>
    </row>
    <row r="35" spans="1:8" x14ac:dyDescent="0.2">
      <c r="A35" s="1">
        <v>91.42</v>
      </c>
      <c r="D35" s="1">
        <v>31325</v>
      </c>
      <c r="F35" s="1">
        <v>92.1</v>
      </c>
      <c r="H35" s="1">
        <v>31556</v>
      </c>
    </row>
    <row r="36" spans="1:8" x14ac:dyDescent="0.2">
      <c r="A36" s="1">
        <v>87.61</v>
      </c>
      <c r="D36" s="1">
        <v>48305</v>
      </c>
      <c r="F36" s="1">
        <v>88.33</v>
      </c>
      <c r="H36" s="1">
        <v>48698</v>
      </c>
    </row>
    <row r="37" spans="1:8" x14ac:dyDescent="0.2">
      <c r="A37" s="1">
        <v>93.9</v>
      </c>
      <c r="D37" s="1">
        <v>32284</v>
      </c>
      <c r="F37" s="1">
        <v>94.55</v>
      </c>
      <c r="H37" s="1">
        <v>32509</v>
      </c>
    </row>
    <row r="38" spans="1:8" x14ac:dyDescent="0.2">
      <c r="A38" s="1">
        <v>91.85</v>
      </c>
      <c r="D38" s="1">
        <v>24605</v>
      </c>
      <c r="F38" s="1">
        <v>92.71</v>
      </c>
      <c r="H38" s="1">
        <v>24834</v>
      </c>
    </row>
    <row r="39" spans="1:8" x14ac:dyDescent="0.2">
      <c r="A39" s="1">
        <v>92.16</v>
      </c>
      <c r="D39" s="1">
        <v>30717</v>
      </c>
      <c r="F39" s="1">
        <v>93.97</v>
      </c>
      <c r="H39" s="1">
        <v>31320</v>
      </c>
    </row>
    <row r="40" spans="1:8" x14ac:dyDescent="0.2">
      <c r="A40" s="1">
        <v>92.88</v>
      </c>
      <c r="D40" s="1">
        <v>28661</v>
      </c>
      <c r="F40" s="1">
        <v>93.81</v>
      </c>
      <c r="H40" s="1">
        <v>28947</v>
      </c>
    </row>
    <row r="41" spans="1:8" x14ac:dyDescent="0.2">
      <c r="A41" s="1">
        <v>94.65</v>
      </c>
      <c r="D41" s="1">
        <v>31750</v>
      </c>
      <c r="F41" s="1">
        <v>95.57</v>
      </c>
      <c r="H41" s="1">
        <v>32058</v>
      </c>
    </row>
    <row r="42" spans="1:8" x14ac:dyDescent="0.2">
      <c r="A42" s="1">
        <v>95.08</v>
      </c>
      <c r="D42" s="1">
        <v>17935</v>
      </c>
      <c r="F42" s="1">
        <v>95.42</v>
      </c>
      <c r="H42" s="1">
        <v>17999</v>
      </c>
    </row>
    <row r="43" spans="1:8" x14ac:dyDescent="0.2">
      <c r="A43" s="1">
        <v>92.6</v>
      </c>
      <c r="D43" s="1">
        <v>33479</v>
      </c>
      <c r="F43" s="1">
        <v>93.35</v>
      </c>
      <c r="H43" s="1">
        <v>33752</v>
      </c>
    </row>
    <row r="44" spans="1:8" x14ac:dyDescent="0.2">
      <c r="A44" s="1">
        <v>92.58</v>
      </c>
      <c r="D44" s="1">
        <v>29553</v>
      </c>
      <c r="F44" s="1">
        <v>93.14</v>
      </c>
      <c r="H44" s="1">
        <v>29733</v>
      </c>
    </row>
    <row r="45" spans="1:8" x14ac:dyDescent="0.2">
      <c r="A45" s="1">
        <v>92.66</v>
      </c>
      <c r="D45" s="1">
        <v>23183</v>
      </c>
      <c r="F45" s="1">
        <v>93.28</v>
      </c>
      <c r="H45" s="1">
        <v>23337</v>
      </c>
    </row>
    <row r="46" spans="1:8" x14ac:dyDescent="0.2">
      <c r="A46" s="1">
        <v>92.64</v>
      </c>
      <c r="D46" s="1">
        <v>31763</v>
      </c>
      <c r="F46" s="1">
        <v>95.45</v>
      </c>
      <c r="H46" s="1">
        <v>32726</v>
      </c>
    </row>
    <row r="47" spans="1:8" x14ac:dyDescent="0.2">
      <c r="A47" s="1">
        <v>91.04</v>
      </c>
      <c r="D47" s="1">
        <v>34602</v>
      </c>
      <c r="F47" s="1">
        <v>91.77</v>
      </c>
      <c r="H47" s="1">
        <v>34878</v>
      </c>
    </row>
    <row r="48" spans="1:8" x14ac:dyDescent="0.2">
      <c r="A48" s="1">
        <v>89.27</v>
      </c>
      <c r="D48" s="1">
        <v>27248</v>
      </c>
      <c r="F48" s="1">
        <v>89.97</v>
      </c>
      <c r="H48" s="1">
        <v>27462</v>
      </c>
    </row>
    <row r="49" spans="1:8" x14ac:dyDescent="0.2">
      <c r="A49" s="1">
        <v>93.83</v>
      </c>
      <c r="D49" s="1">
        <v>38562</v>
      </c>
      <c r="F49" s="1">
        <v>94.69</v>
      </c>
      <c r="H49" s="1">
        <v>38914</v>
      </c>
    </row>
    <row r="50" spans="1:8" x14ac:dyDescent="0.2">
      <c r="A50" s="1">
        <v>91.33</v>
      </c>
      <c r="D50" s="1">
        <v>44229</v>
      </c>
      <c r="F50" s="1">
        <v>91.82</v>
      </c>
      <c r="H50" s="1">
        <v>44469</v>
      </c>
    </row>
    <row r="51" spans="1:8" x14ac:dyDescent="0.2">
      <c r="A51" s="1">
        <v>90.63</v>
      </c>
      <c r="D51" s="1">
        <v>36967</v>
      </c>
      <c r="F51" s="1">
        <v>91.15</v>
      </c>
      <c r="H51" s="1">
        <v>37177</v>
      </c>
    </row>
    <row r="52" spans="1:8" x14ac:dyDescent="0.2">
      <c r="A52" s="1">
        <v>92.35</v>
      </c>
      <c r="D52" s="1">
        <v>39950</v>
      </c>
      <c r="F52" s="1">
        <v>92.83</v>
      </c>
      <c r="H52" s="1">
        <v>40156</v>
      </c>
    </row>
    <row r="53" spans="1:8" x14ac:dyDescent="0.2">
      <c r="A53" s="1">
        <v>94.98</v>
      </c>
      <c r="D53" s="1">
        <v>26691</v>
      </c>
      <c r="F53" s="1">
        <v>95.58</v>
      </c>
      <c r="H53" s="1">
        <v>26859</v>
      </c>
    </row>
    <row r="54" spans="1:8" x14ac:dyDescent="0.2">
      <c r="A54" s="1">
        <v>91.95</v>
      </c>
      <c r="D54" s="1">
        <v>30976</v>
      </c>
      <c r="F54" s="1">
        <v>93.01</v>
      </c>
      <c r="H54" s="1">
        <v>31331</v>
      </c>
    </row>
    <row r="55" spans="1:8" x14ac:dyDescent="0.2">
      <c r="A55" s="1">
        <v>86.57</v>
      </c>
      <c r="D55" s="1">
        <v>32732</v>
      </c>
      <c r="F55" s="1">
        <v>87.42</v>
      </c>
      <c r="H55" s="1">
        <v>33057</v>
      </c>
    </row>
    <row r="56" spans="1:8" x14ac:dyDescent="0.2">
      <c r="A56" s="1">
        <v>92.73</v>
      </c>
      <c r="D56" s="1">
        <v>43764</v>
      </c>
      <c r="F56" s="1">
        <v>93.43</v>
      </c>
      <c r="H56" s="1">
        <v>44096</v>
      </c>
    </row>
    <row r="57" spans="1:8" x14ac:dyDescent="0.2">
      <c r="A57" s="1">
        <v>90.57</v>
      </c>
      <c r="D57" s="1">
        <v>34149</v>
      </c>
      <c r="F57" s="1">
        <v>91.24</v>
      </c>
      <c r="H57" s="1">
        <v>34400</v>
      </c>
    </row>
    <row r="58" spans="1:8" x14ac:dyDescent="0.2">
      <c r="A58" s="1">
        <v>93.78</v>
      </c>
      <c r="D58" s="1">
        <v>30449</v>
      </c>
      <c r="F58" s="1">
        <v>94.44</v>
      </c>
      <c r="H58" s="1">
        <v>30664</v>
      </c>
    </row>
    <row r="59" spans="1:8" x14ac:dyDescent="0.2">
      <c r="A59" s="1">
        <v>87.41</v>
      </c>
      <c r="D59" s="1">
        <v>37518</v>
      </c>
      <c r="F59" s="1">
        <v>87.97</v>
      </c>
      <c r="H59" s="1">
        <v>37760</v>
      </c>
    </row>
    <row r="60" spans="1:8" x14ac:dyDescent="0.2">
      <c r="A60" s="1">
        <v>94.28</v>
      </c>
      <c r="D60" s="1">
        <v>34943</v>
      </c>
      <c r="F60" s="1">
        <v>94.94</v>
      </c>
      <c r="H60" s="1">
        <v>35189</v>
      </c>
    </row>
    <row r="61" spans="1:8" x14ac:dyDescent="0.2">
      <c r="A61" s="1">
        <v>94.35</v>
      </c>
      <c r="D61" s="1">
        <v>31273</v>
      </c>
      <c r="F61" s="1">
        <v>95.37</v>
      </c>
      <c r="H61" s="1">
        <v>31612</v>
      </c>
    </row>
    <row r="62" spans="1:8" x14ac:dyDescent="0.2">
      <c r="A62" s="1">
        <v>91.33</v>
      </c>
      <c r="D62" s="1">
        <v>32172</v>
      </c>
      <c r="F62" s="1">
        <v>91.95</v>
      </c>
      <c r="H62" s="1">
        <v>32391</v>
      </c>
    </row>
    <row r="63" spans="1:8" x14ac:dyDescent="0.2">
      <c r="A63" s="1">
        <v>91.19</v>
      </c>
      <c r="D63" s="1">
        <v>37677</v>
      </c>
      <c r="F63" s="1">
        <v>91.85</v>
      </c>
      <c r="H63" s="1">
        <v>37953</v>
      </c>
    </row>
    <row r="64" spans="1:8" x14ac:dyDescent="0.2">
      <c r="A64" s="1">
        <v>91.93</v>
      </c>
      <c r="D64" s="1">
        <v>35551</v>
      </c>
      <c r="F64" s="1">
        <v>92.6</v>
      </c>
      <c r="H64" s="1">
        <v>35810</v>
      </c>
    </row>
    <row r="65" spans="1:8" x14ac:dyDescent="0.2">
      <c r="A65" s="1">
        <v>86.29</v>
      </c>
      <c r="D65" s="1">
        <v>30474</v>
      </c>
      <c r="F65" s="1">
        <v>86.78</v>
      </c>
      <c r="H65" s="1">
        <v>30649</v>
      </c>
    </row>
    <row r="66" spans="1:8" x14ac:dyDescent="0.2">
      <c r="A66" s="1">
        <v>86.49</v>
      </c>
      <c r="D66" s="1">
        <v>25068</v>
      </c>
      <c r="F66" s="1">
        <v>87.37</v>
      </c>
      <c r="H66" s="1">
        <v>25324</v>
      </c>
    </row>
    <row r="67" spans="1:8" x14ac:dyDescent="0.2">
      <c r="A67" s="1">
        <v>82.72</v>
      </c>
      <c r="D67" s="1">
        <v>35166</v>
      </c>
      <c r="F67" s="1">
        <v>84.62</v>
      </c>
      <c r="H67" s="1">
        <v>35972</v>
      </c>
    </row>
    <row r="68" spans="1:8" x14ac:dyDescent="0.2">
      <c r="A68" s="1">
        <v>90.79</v>
      </c>
      <c r="D68" s="1">
        <v>19240</v>
      </c>
      <c r="F68" s="1">
        <v>91.41</v>
      </c>
      <c r="H68" s="1">
        <v>19370</v>
      </c>
    </row>
    <row r="69" spans="1:8" x14ac:dyDescent="0.2">
      <c r="A69" s="1">
        <v>87.07</v>
      </c>
      <c r="D69" s="1">
        <v>42890</v>
      </c>
      <c r="F69" s="1">
        <v>87.76</v>
      </c>
      <c r="H69" s="1">
        <v>43226</v>
      </c>
    </row>
    <row r="70" spans="1:8" x14ac:dyDescent="0.2">
      <c r="A70" s="1">
        <v>85.29</v>
      </c>
      <c r="D70" s="1">
        <v>27239</v>
      </c>
      <c r="F70" s="1">
        <v>91.88</v>
      </c>
      <c r="H70" s="1">
        <v>29345</v>
      </c>
    </row>
    <row r="71" spans="1:8" x14ac:dyDescent="0.2">
      <c r="A71" s="1">
        <v>86.7</v>
      </c>
      <c r="D71" s="1">
        <v>38305</v>
      </c>
      <c r="F71" s="1">
        <v>87.5</v>
      </c>
      <c r="H71" s="1">
        <v>38657</v>
      </c>
    </row>
    <row r="72" spans="1:8" x14ac:dyDescent="0.2">
      <c r="A72" s="1">
        <v>93.31</v>
      </c>
      <c r="D72" s="1">
        <v>37438</v>
      </c>
      <c r="F72" s="1">
        <v>94.1</v>
      </c>
      <c r="H72" s="1">
        <v>37757</v>
      </c>
    </row>
    <row r="73" spans="1:8" x14ac:dyDescent="0.2">
      <c r="A73" s="1">
        <v>89.6</v>
      </c>
      <c r="D73" s="1">
        <v>39124</v>
      </c>
      <c r="F73" s="1">
        <v>90.22</v>
      </c>
      <c r="H73" s="1">
        <v>39394</v>
      </c>
    </row>
    <row r="74" spans="1:8" x14ac:dyDescent="0.2">
      <c r="A74" s="1">
        <v>93.35</v>
      </c>
      <c r="D74" s="1">
        <v>30391</v>
      </c>
      <c r="F74" s="1">
        <v>94.11</v>
      </c>
      <c r="H74" s="1">
        <v>30638</v>
      </c>
    </row>
    <row r="75" spans="1:8" x14ac:dyDescent="0.2">
      <c r="A75" s="1">
        <v>90.34</v>
      </c>
      <c r="D75" s="1">
        <v>18401</v>
      </c>
      <c r="F75" s="1">
        <v>90.85</v>
      </c>
      <c r="H75" s="1">
        <v>18505</v>
      </c>
    </row>
    <row r="76" spans="1:8" x14ac:dyDescent="0.2">
      <c r="A76" s="1">
        <v>90.9</v>
      </c>
      <c r="D76" s="1">
        <v>41169</v>
      </c>
      <c r="F76" s="1">
        <v>91.44</v>
      </c>
      <c r="H76" s="1">
        <v>41410</v>
      </c>
    </row>
    <row r="77" spans="1:8" x14ac:dyDescent="0.2">
      <c r="A77" s="1">
        <v>88.33</v>
      </c>
      <c r="D77" s="1">
        <v>37546</v>
      </c>
      <c r="F77" s="1">
        <v>89.15</v>
      </c>
      <c r="H77" s="1">
        <v>37893</v>
      </c>
    </row>
    <row r="78" spans="1:8" x14ac:dyDescent="0.2">
      <c r="A78" s="1">
        <v>92.39</v>
      </c>
      <c r="D78" s="1">
        <v>38610</v>
      </c>
      <c r="F78" s="1">
        <v>93.14</v>
      </c>
      <c r="H78" s="1">
        <v>38927</v>
      </c>
    </row>
    <row r="79" spans="1:8" x14ac:dyDescent="0.2">
      <c r="A79" s="1">
        <v>89.97</v>
      </c>
      <c r="D79" s="1">
        <v>18805</v>
      </c>
      <c r="F79" s="1">
        <v>90.72</v>
      </c>
      <c r="H79" s="1">
        <v>18963</v>
      </c>
    </row>
    <row r="80" spans="1:8" x14ac:dyDescent="0.2">
      <c r="A80" s="1">
        <v>86.43</v>
      </c>
      <c r="D80" s="1">
        <v>36553</v>
      </c>
      <c r="F80" s="1">
        <v>87.11</v>
      </c>
      <c r="H80" s="1">
        <v>36843</v>
      </c>
    </row>
    <row r="81" spans="1:8" x14ac:dyDescent="0.2">
      <c r="A81" s="1">
        <v>85.93</v>
      </c>
      <c r="D81" s="1">
        <v>33064</v>
      </c>
      <c r="F81" s="1">
        <v>86.45</v>
      </c>
      <c r="H81" s="1">
        <v>33266</v>
      </c>
    </row>
    <row r="82" spans="1:8" x14ac:dyDescent="0.2">
      <c r="A82" s="1">
        <v>85.14</v>
      </c>
      <c r="D82" s="1">
        <v>31290</v>
      </c>
      <c r="F82" s="1">
        <v>85.87</v>
      </c>
      <c r="H82" s="1">
        <v>31557</v>
      </c>
    </row>
    <row r="83" spans="1:8" x14ac:dyDescent="0.2">
      <c r="A83" s="1">
        <v>88.34</v>
      </c>
      <c r="D83" s="1">
        <v>36544</v>
      </c>
      <c r="F83" s="1">
        <v>89.06</v>
      </c>
      <c r="H83" s="1">
        <v>36840</v>
      </c>
    </row>
    <row r="84" spans="1:8" x14ac:dyDescent="0.2">
      <c r="A84" s="1">
        <v>87.54</v>
      </c>
      <c r="D84" s="1">
        <v>35426</v>
      </c>
      <c r="F84" s="1">
        <v>87.95</v>
      </c>
      <c r="H84" s="1">
        <v>35592</v>
      </c>
    </row>
    <row r="85" spans="1:8" x14ac:dyDescent="0.2">
      <c r="A85" s="1">
        <v>87.41</v>
      </c>
      <c r="D85" s="1">
        <v>17739</v>
      </c>
      <c r="F85" s="1">
        <v>88.01</v>
      </c>
      <c r="H85" s="1">
        <v>17862</v>
      </c>
    </row>
    <row r="86" spans="1:8" x14ac:dyDescent="0.2">
      <c r="A86" s="1">
        <v>90.52</v>
      </c>
      <c r="D86" s="1">
        <v>34644</v>
      </c>
      <c r="F86" s="1">
        <v>91.27</v>
      </c>
      <c r="H86" s="1">
        <v>34933</v>
      </c>
    </row>
    <row r="87" spans="1:8" x14ac:dyDescent="0.2">
      <c r="A87" s="1">
        <v>93.06</v>
      </c>
      <c r="D87" s="1">
        <v>20160</v>
      </c>
      <c r="F87" s="1">
        <v>93.69</v>
      </c>
      <c r="H87" s="1">
        <v>20295</v>
      </c>
    </row>
    <row r="88" spans="1:8" x14ac:dyDescent="0.2">
      <c r="A88" s="1">
        <v>87.48</v>
      </c>
      <c r="D88" s="1">
        <v>36630</v>
      </c>
      <c r="F88" s="1">
        <v>88.16</v>
      </c>
      <c r="H88" s="1">
        <v>36916</v>
      </c>
    </row>
    <row r="89" spans="1:8" x14ac:dyDescent="0.2">
      <c r="A89" s="1">
        <v>91.07</v>
      </c>
      <c r="D89" s="1">
        <v>31842</v>
      </c>
      <c r="F89" s="1">
        <v>91.71</v>
      </c>
      <c r="H89" s="1">
        <v>32066</v>
      </c>
    </row>
    <row r="90" spans="1:8" x14ac:dyDescent="0.2">
      <c r="A90" s="1">
        <v>85.45</v>
      </c>
      <c r="D90" s="1">
        <v>30517</v>
      </c>
      <c r="F90" s="1">
        <v>85.97</v>
      </c>
      <c r="H90" s="1">
        <v>30701</v>
      </c>
    </row>
    <row r="91" spans="1:8" x14ac:dyDescent="0.2">
      <c r="A91" s="1">
        <v>89.9</v>
      </c>
      <c r="D91" s="1">
        <v>42214</v>
      </c>
      <c r="F91" s="1">
        <v>90.49</v>
      </c>
      <c r="H91" s="1">
        <v>42489</v>
      </c>
    </row>
    <row r="92" spans="1:8" x14ac:dyDescent="0.2">
      <c r="A92" s="1">
        <v>91.08</v>
      </c>
      <c r="D92" s="1">
        <v>43802</v>
      </c>
      <c r="F92" s="1">
        <v>91.8</v>
      </c>
      <c r="H92" s="1">
        <v>44152</v>
      </c>
    </row>
    <row r="93" spans="1:8" x14ac:dyDescent="0.2">
      <c r="A93" s="1">
        <v>92.61</v>
      </c>
      <c r="D93" s="1">
        <v>44462</v>
      </c>
      <c r="F93" s="1">
        <v>93.37</v>
      </c>
      <c r="H93" s="1">
        <v>44826</v>
      </c>
    </row>
    <row r="94" spans="1:8" x14ac:dyDescent="0.2">
      <c r="A94" s="1">
        <v>88.25</v>
      </c>
      <c r="D94" s="1">
        <v>30947</v>
      </c>
      <c r="F94" s="1">
        <v>88.78</v>
      </c>
      <c r="H94" s="1">
        <v>31132</v>
      </c>
    </row>
    <row r="95" spans="1:8" x14ac:dyDescent="0.2">
      <c r="A95" s="1">
        <v>87.01</v>
      </c>
      <c r="D95" s="1">
        <v>36871</v>
      </c>
      <c r="F95" s="1">
        <v>87.58</v>
      </c>
      <c r="H95" s="1">
        <v>37113</v>
      </c>
    </row>
    <row r="96" spans="1:8" x14ac:dyDescent="0.2">
      <c r="A96" s="1">
        <v>88.62</v>
      </c>
      <c r="D96" s="1">
        <v>33105</v>
      </c>
      <c r="F96" s="1">
        <v>89.05</v>
      </c>
      <c r="H96" s="1">
        <v>33264</v>
      </c>
    </row>
    <row r="97" spans="1:8" x14ac:dyDescent="0.2">
      <c r="A97" s="1">
        <v>91.17</v>
      </c>
      <c r="D97" s="1">
        <v>32401</v>
      </c>
      <c r="F97" s="1">
        <v>91.77</v>
      </c>
      <c r="H97" s="1">
        <v>32612</v>
      </c>
    </row>
    <row r="98" spans="1:8" x14ac:dyDescent="0.2">
      <c r="A98" s="1">
        <v>89.31</v>
      </c>
      <c r="D98" s="1">
        <v>20768</v>
      </c>
      <c r="F98" s="1">
        <v>89.42</v>
      </c>
      <c r="H98" s="1">
        <v>20794</v>
      </c>
    </row>
    <row r="99" spans="1:8" x14ac:dyDescent="0.2">
      <c r="A99" s="1">
        <v>93.35</v>
      </c>
      <c r="D99" s="1">
        <v>47170</v>
      </c>
      <c r="F99" s="1">
        <v>94.02</v>
      </c>
      <c r="H99" s="1">
        <v>47509</v>
      </c>
    </row>
    <row r="100" spans="1:8" x14ac:dyDescent="0.2">
      <c r="A100" s="1">
        <v>93.43</v>
      </c>
      <c r="D100" s="1">
        <v>24654</v>
      </c>
      <c r="F100" s="1">
        <v>94.3</v>
      </c>
      <c r="H100" s="1">
        <v>24883</v>
      </c>
    </row>
    <row r="101" spans="1:8" x14ac:dyDescent="0.2">
      <c r="A101" s="1">
        <v>91.51</v>
      </c>
      <c r="D101" s="1">
        <v>47140</v>
      </c>
      <c r="F101" s="1">
        <v>92.08</v>
      </c>
      <c r="H101" s="1">
        <v>47434</v>
      </c>
    </row>
    <row r="102" spans="1:8" x14ac:dyDescent="0.2">
      <c r="A102" s="1">
        <v>91.79</v>
      </c>
      <c r="D102" s="1">
        <v>27779</v>
      </c>
      <c r="F102" s="1">
        <v>92.51</v>
      </c>
      <c r="H102" s="1">
        <v>27998</v>
      </c>
    </row>
    <row r="103" spans="1:8" x14ac:dyDescent="0.2">
      <c r="A103" s="1">
        <v>93.16</v>
      </c>
      <c r="D103" s="1">
        <v>44762</v>
      </c>
      <c r="F103" s="1">
        <v>93.73</v>
      </c>
      <c r="H103" s="1">
        <v>45039</v>
      </c>
    </row>
    <row r="104" spans="1:8" x14ac:dyDescent="0.2">
      <c r="A104" s="1">
        <v>88.33</v>
      </c>
      <c r="D104" s="1">
        <v>42357</v>
      </c>
      <c r="F104" s="1">
        <v>88.86</v>
      </c>
      <c r="H104" s="1">
        <v>42608</v>
      </c>
    </row>
    <row r="105" spans="1:8" x14ac:dyDescent="0.2">
      <c r="A105" s="1">
        <v>90.38</v>
      </c>
      <c r="D105" s="1">
        <v>42656</v>
      </c>
      <c r="F105" s="1">
        <v>90.88</v>
      </c>
      <c r="H105" s="1">
        <v>42890</v>
      </c>
    </row>
    <row r="106" spans="1:8" x14ac:dyDescent="0.2">
      <c r="A106" s="1">
        <v>92.69</v>
      </c>
      <c r="D106" s="1">
        <v>31866</v>
      </c>
      <c r="F106" s="1">
        <v>93.27</v>
      </c>
      <c r="H106" s="1">
        <v>32064</v>
      </c>
    </row>
    <row r="107" spans="1:8" x14ac:dyDescent="0.2">
      <c r="A107" s="1">
        <v>89.8</v>
      </c>
      <c r="D107" s="1">
        <v>32724</v>
      </c>
      <c r="F107" s="1">
        <v>90.49</v>
      </c>
      <c r="H107" s="1">
        <v>32973</v>
      </c>
    </row>
    <row r="108" spans="1:8" x14ac:dyDescent="0.2">
      <c r="A108" s="1">
        <v>89.38</v>
      </c>
      <c r="D108" s="1">
        <v>41946</v>
      </c>
      <c r="F108" s="1">
        <v>90.03</v>
      </c>
      <c r="H108" s="1">
        <v>42253</v>
      </c>
    </row>
    <row r="109" spans="1:8" x14ac:dyDescent="0.2">
      <c r="A109" s="1">
        <v>93.49</v>
      </c>
      <c r="D109" s="1">
        <v>44981</v>
      </c>
      <c r="F109" s="1">
        <v>94.22</v>
      </c>
      <c r="H109" s="1">
        <v>45330</v>
      </c>
    </row>
    <row r="110" spans="1:8" x14ac:dyDescent="0.2">
      <c r="A110" s="1">
        <v>91.58</v>
      </c>
      <c r="D110" s="1">
        <v>43181</v>
      </c>
      <c r="F110" s="1">
        <v>92.49</v>
      </c>
      <c r="H110" s="1">
        <v>43610</v>
      </c>
    </row>
    <row r="111" spans="1:8" x14ac:dyDescent="0.2">
      <c r="A111" s="1">
        <v>91.85</v>
      </c>
      <c r="D111" s="1">
        <v>29325</v>
      </c>
      <c r="F111" s="1">
        <v>92.92</v>
      </c>
      <c r="H111" s="1">
        <v>29668</v>
      </c>
    </row>
    <row r="112" spans="1:8" x14ac:dyDescent="0.2">
      <c r="A112" s="1">
        <v>93.91</v>
      </c>
      <c r="D112" s="1">
        <v>37101</v>
      </c>
      <c r="F112" s="1">
        <v>94.44</v>
      </c>
      <c r="H112" s="1">
        <v>37308</v>
      </c>
    </row>
    <row r="113" spans="1:8" x14ac:dyDescent="0.2">
      <c r="A113" s="1">
        <v>89.02</v>
      </c>
      <c r="D113" s="1">
        <v>28862</v>
      </c>
      <c r="F113" s="1">
        <v>89.66</v>
      </c>
      <c r="H113" s="1">
        <v>29069</v>
      </c>
    </row>
    <row r="114" spans="1:8" x14ac:dyDescent="0.2">
      <c r="A114" s="1">
        <v>94.11</v>
      </c>
      <c r="D114" s="1">
        <v>42535</v>
      </c>
      <c r="F114" s="1">
        <v>94.71</v>
      </c>
      <c r="H114" s="1">
        <v>42805</v>
      </c>
    </row>
    <row r="115" spans="1:8" x14ac:dyDescent="0.2">
      <c r="A115" s="1">
        <v>94.22</v>
      </c>
      <c r="D115" s="1">
        <v>39494</v>
      </c>
      <c r="F115" s="1">
        <v>94.76</v>
      </c>
      <c r="H115" s="1">
        <v>39723</v>
      </c>
    </row>
    <row r="116" spans="1:8" x14ac:dyDescent="0.2">
      <c r="A116" s="1">
        <v>92.04</v>
      </c>
      <c r="D116" s="1">
        <v>32543</v>
      </c>
      <c r="F116" s="1">
        <v>92.76</v>
      </c>
      <c r="H116" s="1">
        <v>32798</v>
      </c>
    </row>
    <row r="117" spans="1:8" x14ac:dyDescent="0.2">
      <c r="A117" s="1">
        <v>93.19</v>
      </c>
      <c r="D117" s="1">
        <v>38039</v>
      </c>
      <c r="F117" s="1">
        <v>93.83</v>
      </c>
      <c r="H117" s="1">
        <v>38300</v>
      </c>
    </row>
    <row r="118" spans="1:8" x14ac:dyDescent="0.2">
      <c r="A118" s="1">
        <v>92.61</v>
      </c>
      <c r="D118" s="1">
        <v>43065</v>
      </c>
      <c r="F118" s="1">
        <v>93.45</v>
      </c>
      <c r="H118" s="1">
        <v>43456</v>
      </c>
    </row>
    <row r="119" spans="1:8" x14ac:dyDescent="0.2">
      <c r="A119" s="1">
        <v>85.95</v>
      </c>
      <c r="D119" s="1">
        <v>39662</v>
      </c>
      <c r="F119" s="1">
        <v>86.54</v>
      </c>
      <c r="H119" s="1">
        <v>39936</v>
      </c>
    </row>
    <row r="120" spans="1:8" x14ac:dyDescent="0.2">
      <c r="A120" s="1">
        <v>77.77</v>
      </c>
      <c r="D120" s="1">
        <v>24110</v>
      </c>
      <c r="F120" s="1">
        <v>78.510000000000005</v>
      </c>
      <c r="H120" s="1">
        <v>24339</v>
      </c>
    </row>
    <row r="121" spans="1:8" x14ac:dyDescent="0.2">
      <c r="A121" s="1">
        <v>91.31</v>
      </c>
      <c r="D121" s="1">
        <v>30937</v>
      </c>
      <c r="F121" s="1">
        <v>91.92</v>
      </c>
      <c r="H121" s="1">
        <v>31143</v>
      </c>
    </row>
    <row r="122" spans="1:8" x14ac:dyDescent="0.2">
      <c r="A122" s="1">
        <v>94.48</v>
      </c>
      <c r="D122" s="1">
        <v>40215</v>
      </c>
      <c r="F122" s="1">
        <v>95.2</v>
      </c>
      <c r="H122" s="1">
        <v>40521</v>
      </c>
    </row>
    <row r="123" spans="1:8" x14ac:dyDescent="0.2">
      <c r="A123" s="1">
        <v>89.5</v>
      </c>
      <c r="D123" s="1">
        <v>50392</v>
      </c>
      <c r="F123" s="1">
        <v>90.26</v>
      </c>
      <c r="H123" s="1">
        <v>50819</v>
      </c>
    </row>
    <row r="124" spans="1:8" x14ac:dyDescent="0.2">
      <c r="A124" s="1">
        <v>93.11</v>
      </c>
      <c r="D124" s="1">
        <v>47175</v>
      </c>
      <c r="F124" s="1">
        <v>93.67</v>
      </c>
      <c r="H124" s="1">
        <v>47461</v>
      </c>
    </row>
    <row r="125" spans="1:8" x14ac:dyDescent="0.2">
      <c r="A125" s="1">
        <v>89.53</v>
      </c>
      <c r="D125" s="1">
        <v>45405</v>
      </c>
      <c r="F125" s="1">
        <v>90.36</v>
      </c>
      <c r="H125" s="1">
        <v>45826</v>
      </c>
    </row>
    <row r="126" spans="1:8" x14ac:dyDescent="0.2">
      <c r="A126" s="1">
        <v>93.57</v>
      </c>
      <c r="D126" s="1">
        <v>43179</v>
      </c>
      <c r="F126" s="1">
        <v>94.19</v>
      </c>
      <c r="H126" s="1">
        <v>43465</v>
      </c>
    </row>
    <row r="127" spans="1:8" x14ac:dyDescent="0.2">
      <c r="A127" s="1">
        <v>91.54</v>
      </c>
      <c r="D127" s="1">
        <v>53102</v>
      </c>
      <c r="F127" s="1">
        <v>92.24</v>
      </c>
      <c r="H127" s="1">
        <v>53508</v>
      </c>
    </row>
    <row r="128" spans="1:8" x14ac:dyDescent="0.2">
      <c r="A128" s="1">
        <v>92.85</v>
      </c>
      <c r="D128" s="1">
        <v>44553</v>
      </c>
      <c r="F128" s="1">
        <v>93.52</v>
      </c>
      <c r="H128" s="1">
        <v>44876</v>
      </c>
    </row>
    <row r="129" spans="1:8" x14ac:dyDescent="0.2">
      <c r="A129" s="1">
        <v>84.55</v>
      </c>
      <c r="D129" s="1">
        <v>43556</v>
      </c>
      <c r="F129" s="1">
        <v>85.25</v>
      </c>
      <c r="H129" s="1">
        <v>43919</v>
      </c>
    </row>
    <row r="130" spans="1:8" x14ac:dyDescent="0.2">
      <c r="A130" s="1">
        <v>81.83</v>
      </c>
      <c r="D130" s="1">
        <v>30965</v>
      </c>
      <c r="F130" s="1">
        <v>82.57</v>
      </c>
      <c r="H130" s="1">
        <v>31247</v>
      </c>
    </row>
    <row r="131" spans="1:8" x14ac:dyDescent="0.2">
      <c r="A131" s="1">
        <v>83.2</v>
      </c>
      <c r="D131" s="1">
        <v>22508</v>
      </c>
      <c r="F131" s="1">
        <v>84.13</v>
      </c>
      <c r="H131" s="1">
        <v>22759</v>
      </c>
    </row>
    <row r="132" spans="1:8" x14ac:dyDescent="0.2">
      <c r="A132" s="1">
        <v>90.3</v>
      </c>
      <c r="D132" s="1">
        <v>33928</v>
      </c>
      <c r="F132" s="1">
        <v>90.92</v>
      </c>
      <c r="H132" s="1">
        <v>34158</v>
      </c>
    </row>
    <row r="133" spans="1:8" x14ac:dyDescent="0.2">
      <c r="A133" s="1">
        <v>91.14</v>
      </c>
      <c r="D133" s="1">
        <v>46283</v>
      </c>
      <c r="F133" s="1">
        <v>91.82</v>
      </c>
      <c r="H133" s="1">
        <v>46627</v>
      </c>
    </row>
    <row r="134" spans="1:8" x14ac:dyDescent="0.2">
      <c r="A134" s="1">
        <v>92.14</v>
      </c>
      <c r="D134" s="1">
        <v>65447</v>
      </c>
      <c r="F134" s="1">
        <v>92.94</v>
      </c>
      <c r="H134" s="1">
        <v>66014</v>
      </c>
    </row>
    <row r="135" spans="1:8" x14ac:dyDescent="0.2">
      <c r="A135" s="1">
        <v>86.98</v>
      </c>
      <c r="D135" s="1">
        <v>30818</v>
      </c>
      <c r="F135" s="1">
        <v>87.56</v>
      </c>
      <c r="H135" s="1">
        <v>31025</v>
      </c>
    </row>
    <row r="136" spans="1:8" x14ac:dyDescent="0.2">
      <c r="A136" s="1">
        <v>86.04</v>
      </c>
      <c r="D136" s="1">
        <v>36532</v>
      </c>
      <c r="F136" s="1">
        <v>86.79</v>
      </c>
      <c r="H136" s="1">
        <v>36850</v>
      </c>
    </row>
    <row r="137" spans="1:8" x14ac:dyDescent="0.2">
      <c r="A137" s="1">
        <v>91.35</v>
      </c>
      <c r="D137" s="1">
        <v>42778</v>
      </c>
      <c r="F137" s="1">
        <v>92.06</v>
      </c>
      <c r="H137" s="1">
        <v>43112</v>
      </c>
    </row>
    <row r="138" spans="1:8" x14ac:dyDescent="0.2">
      <c r="A138" s="1">
        <v>92.54</v>
      </c>
      <c r="D138" s="1">
        <v>30682</v>
      </c>
      <c r="F138" s="1">
        <v>93.11</v>
      </c>
      <c r="H138" s="1">
        <v>30869</v>
      </c>
    </row>
    <row r="139" spans="1:8" x14ac:dyDescent="0.2">
      <c r="A139" s="1">
        <v>89.39</v>
      </c>
      <c r="D139" s="1">
        <v>34364</v>
      </c>
      <c r="F139" s="1">
        <v>89.99</v>
      </c>
      <c r="H139" s="1">
        <v>34594</v>
      </c>
    </row>
    <row r="140" spans="1:8" x14ac:dyDescent="0.2">
      <c r="A140" s="1">
        <v>91.28</v>
      </c>
      <c r="D140" s="1">
        <v>38228</v>
      </c>
      <c r="F140" s="1">
        <v>91.02</v>
      </c>
      <c r="H140" s="1">
        <v>38122</v>
      </c>
    </row>
    <row r="141" spans="1:8" x14ac:dyDescent="0.2">
      <c r="A141" s="1">
        <v>87.84</v>
      </c>
      <c r="D141" s="1">
        <v>36329</v>
      </c>
      <c r="F141" s="1">
        <v>88.6</v>
      </c>
      <c r="H141" s="1">
        <v>36644</v>
      </c>
    </row>
    <row r="142" spans="1:8" x14ac:dyDescent="0.2">
      <c r="A142" s="1">
        <v>90.07</v>
      </c>
      <c r="D142" s="1">
        <v>40919</v>
      </c>
      <c r="F142" s="1">
        <v>90.67</v>
      </c>
      <c r="H142" s="1">
        <v>41190</v>
      </c>
    </row>
    <row r="143" spans="1:8" x14ac:dyDescent="0.2">
      <c r="A143" s="1">
        <v>87.31</v>
      </c>
      <c r="D143" s="1">
        <v>30096</v>
      </c>
      <c r="F143" s="1">
        <v>88.42</v>
      </c>
      <c r="H143" s="1">
        <v>30477</v>
      </c>
    </row>
    <row r="144" spans="1:8" x14ac:dyDescent="0.2">
      <c r="A144" s="1">
        <v>90.4</v>
      </c>
      <c r="D144" s="1">
        <v>50413</v>
      </c>
      <c r="F144" s="1">
        <v>91.59</v>
      </c>
      <c r="H144" s="1">
        <v>51072</v>
      </c>
    </row>
    <row r="145" spans="1:8" x14ac:dyDescent="0.2">
      <c r="A145" s="1">
        <v>91.65</v>
      </c>
      <c r="D145" s="1">
        <v>40638</v>
      </c>
      <c r="F145" s="1">
        <v>92.14</v>
      </c>
      <c r="H145" s="1">
        <v>40854</v>
      </c>
    </row>
    <row r="146" spans="1:8" x14ac:dyDescent="0.2">
      <c r="A146" s="1">
        <v>92.15</v>
      </c>
      <c r="D146" s="1">
        <v>26801</v>
      </c>
      <c r="F146" s="1">
        <v>92.73</v>
      </c>
      <c r="H146" s="1">
        <v>26971</v>
      </c>
    </row>
    <row r="147" spans="1:8" x14ac:dyDescent="0.2">
      <c r="A147" s="1">
        <v>88.98</v>
      </c>
      <c r="D147" s="1">
        <v>34663</v>
      </c>
      <c r="F147" s="1">
        <v>89.47</v>
      </c>
      <c r="H147" s="1">
        <v>34851</v>
      </c>
    </row>
    <row r="148" spans="1:8" x14ac:dyDescent="0.2">
      <c r="A148" s="1">
        <v>88.43</v>
      </c>
      <c r="D148" s="1">
        <v>33317</v>
      </c>
      <c r="F148" s="1">
        <v>89.22</v>
      </c>
      <c r="H148" s="1">
        <v>33613</v>
      </c>
    </row>
    <row r="149" spans="1:8" x14ac:dyDescent="0.2">
      <c r="A149" s="1">
        <v>88.37</v>
      </c>
      <c r="D149" s="1">
        <v>28305</v>
      </c>
      <c r="F149" s="1">
        <v>89.12</v>
      </c>
      <c r="H149" s="1">
        <v>28545</v>
      </c>
    </row>
    <row r="150" spans="1:8" x14ac:dyDescent="0.2">
      <c r="A150" s="1">
        <v>89.64</v>
      </c>
      <c r="D150" s="1">
        <v>41569</v>
      </c>
      <c r="F150" s="1">
        <v>90.49</v>
      </c>
      <c r="H150" s="1">
        <v>41964</v>
      </c>
    </row>
    <row r="151" spans="1:8" x14ac:dyDescent="0.2">
      <c r="A151" s="1">
        <v>85.74</v>
      </c>
      <c r="D151" s="1">
        <v>33883</v>
      </c>
      <c r="F151" s="1">
        <v>86.59</v>
      </c>
      <c r="H151" s="1">
        <v>34220</v>
      </c>
    </row>
    <row r="152" spans="1:8" x14ac:dyDescent="0.2">
      <c r="A152" s="1">
        <v>88.24</v>
      </c>
      <c r="D152" s="1">
        <v>35057</v>
      </c>
      <c r="F152" s="1">
        <v>88.65</v>
      </c>
      <c r="H152" s="1">
        <v>35216</v>
      </c>
    </row>
    <row r="153" spans="1:8" x14ac:dyDescent="0.2">
      <c r="A153" s="1">
        <v>87.18</v>
      </c>
      <c r="D153" s="1">
        <v>42984</v>
      </c>
      <c r="F153" s="1">
        <v>87.64</v>
      </c>
      <c r="H153" s="1">
        <v>43211</v>
      </c>
    </row>
    <row r="154" spans="1:8" x14ac:dyDescent="0.2">
      <c r="A154" s="1">
        <v>88.03</v>
      </c>
      <c r="D154" s="1">
        <v>27896</v>
      </c>
      <c r="F154" s="1">
        <v>88.61</v>
      </c>
      <c r="H154" s="1">
        <v>28081</v>
      </c>
    </row>
    <row r="155" spans="1:8" x14ac:dyDescent="0.2">
      <c r="A155" s="1">
        <v>87.49</v>
      </c>
      <c r="D155" s="1">
        <v>40321</v>
      </c>
      <c r="F155" s="1">
        <v>88.03</v>
      </c>
      <c r="H155" s="1">
        <v>40571</v>
      </c>
    </row>
    <row r="156" spans="1:8" x14ac:dyDescent="0.2">
      <c r="A156" s="1">
        <v>85.89</v>
      </c>
      <c r="D156" s="1">
        <v>26551</v>
      </c>
      <c r="F156" s="1">
        <v>86.46</v>
      </c>
      <c r="H156" s="1">
        <v>26726</v>
      </c>
    </row>
    <row r="157" spans="1:8" x14ac:dyDescent="0.2">
      <c r="A157" s="1">
        <v>85.82</v>
      </c>
      <c r="D157" s="1">
        <v>27653</v>
      </c>
      <c r="F157" s="1">
        <v>86.31</v>
      </c>
      <c r="H157" s="1">
        <v>27812</v>
      </c>
    </row>
    <row r="158" spans="1:8" x14ac:dyDescent="0.2">
      <c r="A158" s="1">
        <v>83.85</v>
      </c>
      <c r="D158" s="1">
        <v>42279</v>
      </c>
      <c r="F158" s="1">
        <v>84.31</v>
      </c>
      <c r="H158" s="1">
        <v>42513</v>
      </c>
    </row>
    <row r="159" spans="1:8" x14ac:dyDescent="0.2">
      <c r="A159" s="1">
        <v>84.2</v>
      </c>
      <c r="D159" s="1">
        <v>25050</v>
      </c>
      <c r="F159" s="1">
        <v>84.63</v>
      </c>
      <c r="H159" s="1">
        <v>25176</v>
      </c>
    </row>
    <row r="160" spans="1:8" x14ac:dyDescent="0.2">
      <c r="A160" s="1">
        <v>86.12</v>
      </c>
      <c r="D160" s="1">
        <v>26847</v>
      </c>
      <c r="F160" s="1">
        <v>86.76</v>
      </c>
      <c r="H160" s="1">
        <v>27046</v>
      </c>
    </row>
    <row r="161" spans="1:8" x14ac:dyDescent="0.2">
      <c r="A161" s="1">
        <v>92.69</v>
      </c>
      <c r="D161" s="1">
        <v>47355</v>
      </c>
      <c r="F161" s="1">
        <v>93.19</v>
      </c>
      <c r="H161" s="1">
        <v>47607</v>
      </c>
    </row>
    <row r="162" spans="1:8" x14ac:dyDescent="0.2">
      <c r="A162" s="1">
        <v>92.31</v>
      </c>
      <c r="D162" s="1">
        <v>43574</v>
      </c>
      <c r="F162" s="1">
        <v>92.88</v>
      </c>
      <c r="H162" s="1">
        <v>43844</v>
      </c>
    </row>
    <row r="163" spans="1:8" x14ac:dyDescent="0.2">
      <c r="A163" s="1">
        <v>94.25</v>
      </c>
      <c r="D163" s="1">
        <v>51655</v>
      </c>
      <c r="F163" s="1">
        <v>94.87</v>
      </c>
      <c r="H163" s="1">
        <v>51994</v>
      </c>
    </row>
    <row r="164" spans="1:8" x14ac:dyDescent="0.2">
      <c r="A164" s="1">
        <v>90.27</v>
      </c>
      <c r="D164" s="1">
        <v>43721</v>
      </c>
      <c r="F164" s="1">
        <v>91.22</v>
      </c>
      <c r="H164" s="1">
        <v>44184</v>
      </c>
    </row>
    <row r="165" spans="1:8" x14ac:dyDescent="0.2">
      <c r="A165" s="1">
        <v>92.52</v>
      </c>
      <c r="D165" s="1">
        <v>47068</v>
      </c>
      <c r="F165" s="1">
        <v>93.26</v>
      </c>
      <c r="H165" s="1">
        <v>47444</v>
      </c>
    </row>
    <row r="166" spans="1:8" x14ac:dyDescent="0.2">
      <c r="A166" s="1">
        <v>91.87</v>
      </c>
      <c r="D166" s="1">
        <v>39773</v>
      </c>
      <c r="F166" s="1">
        <v>92.52</v>
      </c>
      <c r="H166" s="1">
        <v>40053</v>
      </c>
    </row>
    <row r="167" spans="1:8" x14ac:dyDescent="0.2">
      <c r="A167" s="1">
        <v>90.83</v>
      </c>
      <c r="D167" s="1">
        <v>24749</v>
      </c>
      <c r="F167" s="1">
        <v>92.01</v>
      </c>
      <c r="H167" s="1">
        <v>25071</v>
      </c>
    </row>
    <row r="168" spans="1:8" x14ac:dyDescent="0.2">
      <c r="A168" s="1">
        <v>91.4</v>
      </c>
      <c r="D168" s="1">
        <v>49860</v>
      </c>
      <c r="F168" s="1">
        <v>92.03</v>
      </c>
      <c r="H168" s="1">
        <v>50202</v>
      </c>
    </row>
    <row r="169" spans="1:8" x14ac:dyDescent="0.2">
      <c r="A169" s="1">
        <v>88.64</v>
      </c>
      <c r="D169" s="1">
        <v>39252</v>
      </c>
      <c r="F169" s="1">
        <v>89.33</v>
      </c>
      <c r="H169" s="1">
        <v>39559</v>
      </c>
    </row>
    <row r="170" spans="1:8" x14ac:dyDescent="0.2">
      <c r="A170" s="1">
        <v>81.23</v>
      </c>
      <c r="D170" s="1">
        <v>31697</v>
      </c>
      <c r="F170" s="1">
        <v>85.64</v>
      </c>
      <c r="H170" s="1">
        <v>33415</v>
      </c>
    </row>
    <row r="171" spans="1:8" x14ac:dyDescent="0.2">
      <c r="A171" s="1">
        <v>90.97</v>
      </c>
      <c r="D171" s="1">
        <v>54146</v>
      </c>
      <c r="F171" s="1">
        <v>91.61</v>
      </c>
      <c r="H171" s="1">
        <v>54528</v>
      </c>
    </row>
    <row r="172" spans="1:8" x14ac:dyDescent="0.2">
      <c r="A172" s="1">
        <v>93</v>
      </c>
      <c r="D172" s="1">
        <v>26964</v>
      </c>
      <c r="F172" s="1">
        <v>93.49</v>
      </c>
      <c r="H172" s="1">
        <v>27104</v>
      </c>
    </row>
    <row r="173" spans="1:8" x14ac:dyDescent="0.2">
      <c r="A173" s="1">
        <v>87.89</v>
      </c>
      <c r="D173" s="1">
        <v>37268</v>
      </c>
      <c r="F173" s="1">
        <v>88.9</v>
      </c>
      <c r="H173" s="1">
        <v>37696</v>
      </c>
    </row>
    <row r="174" spans="1:8" x14ac:dyDescent="0.2">
      <c r="A174" s="1">
        <v>89.83</v>
      </c>
      <c r="D174" s="1">
        <v>18375</v>
      </c>
      <c r="F174" s="1">
        <v>90.75</v>
      </c>
      <c r="H174" s="1">
        <v>18564</v>
      </c>
    </row>
    <row r="175" spans="1:8" x14ac:dyDescent="0.2">
      <c r="A175" s="1">
        <v>93.16</v>
      </c>
      <c r="D175" s="1">
        <v>52889</v>
      </c>
      <c r="F175" s="1">
        <v>94.05</v>
      </c>
      <c r="H175" s="1">
        <v>53394</v>
      </c>
    </row>
    <row r="176" spans="1:8" x14ac:dyDescent="0.2">
      <c r="A176" s="1">
        <v>90.36</v>
      </c>
      <c r="D176" s="1">
        <v>40358</v>
      </c>
      <c r="F176" s="1">
        <v>91.87</v>
      </c>
      <c r="H176" s="1">
        <v>41033</v>
      </c>
    </row>
    <row r="177" spans="1:8" x14ac:dyDescent="0.2">
      <c r="A177" s="1">
        <v>92.12</v>
      </c>
      <c r="D177" s="1">
        <v>31243</v>
      </c>
      <c r="F177" s="1">
        <v>92.69</v>
      </c>
      <c r="H177" s="1">
        <v>31439</v>
      </c>
    </row>
    <row r="178" spans="1:8" x14ac:dyDescent="0.2">
      <c r="A178" s="1">
        <v>84.67</v>
      </c>
      <c r="D178" s="1">
        <v>28071</v>
      </c>
      <c r="F178" s="1">
        <v>85.68</v>
      </c>
      <c r="H178" s="1">
        <v>28406</v>
      </c>
    </row>
    <row r="179" spans="1:8" x14ac:dyDescent="0.2">
      <c r="A179" s="1">
        <v>85.57</v>
      </c>
      <c r="D179" s="1">
        <v>34531</v>
      </c>
      <c r="F179" s="1">
        <v>86.13</v>
      </c>
      <c r="H179" s="1">
        <v>34757</v>
      </c>
    </row>
    <row r="180" spans="1:8" x14ac:dyDescent="0.2">
      <c r="A180" s="1">
        <v>85.66</v>
      </c>
      <c r="D180" s="1">
        <v>35199</v>
      </c>
      <c r="F180" s="1">
        <v>86.16</v>
      </c>
      <c r="H180" s="1">
        <v>35404</v>
      </c>
    </row>
    <row r="181" spans="1:8" x14ac:dyDescent="0.2">
      <c r="A181" s="1">
        <v>87.25</v>
      </c>
      <c r="D181" s="1">
        <v>32711</v>
      </c>
      <c r="F181" s="1">
        <v>88.01</v>
      </c>
      <c r="H181" s="1">
        <v>32994</v>
      </c>
    </row>
    <row r="182" spans="1:8" x14ac:dyDescent="0.2">
      <c r="A182" s="1">
        <v>91.5</v>
      </c>
      <c r="D182" s="1">
        <v>44238</v>
      </c>
      <c r="F182" s="1">
        <v>92.15</v>
      </c>
      <c r="H182" s="1">
        <v>44553</v>
      </c>
    </row>
    <row r="183" spans="1:8" x14ac:dyDescent="0.2">
      <c r="A183" s="1">
        <v>90.2</v>
      </c>
      <c r="D183" s="1">
        <v>54654</v>
      </c>
      <c r="F183" s="1">
        <v>91.02</v>
      </c>
      <c r="H183" s="1">
        <v>55151</v>
      </c>
    </row>
    <row r="184" spans="1:8" x14ac:dyDescent="0.2">
      <c r="A184" s="1">
        <v>90.16</v>
      </c>
      <c r="D184" s="1">
        <v>40702</v>
      </c>
      <c r="F184" s="1">
        <v>90.65</v>
      </c>
      <c r="H184" s="1">
        <v>40923</v>
      </c>
    </row>
    <row r="185" spans="1:8" x14ac:dyDescent="0.2">
      <c r="A185" s="1">
        <v>83.79</v>
      </c>
      <c r="D185" s="1">
        <v>26823</v>
      </c>
      <c r="F185" s="1">
        <v>84.54</v>
      </c>
      <c r="H185" s="1">
        <v>27065</v>
      </c>
    </row>
    <row r="186" spans="1:8" x14ac:dyDescent="0.2">
      <c r="A186" s="1">
        <v>87.74</v>
      </c>
      <c r="D186" s="1">
        <v>21608</v>
      </c>
      <c r="F186" s="1">
        <v>88.68</v>
      </c>
      <c r="H186" s="1">
        <v>21839</v>
      </c>
    </row>
    <row r="187" spans="1:8" x14ac:dyDescent="0.2">
      <c r="A187" s="1">
        <v>86.01</v>
      </c>
      <c r="D187" s="1">
        <v>36116</v>
      </c>
      <c r="F187" s="1">
        <v>86.62</v>
      </c>
      <c r="H187" s="1">
        <v>36371</v>
      </c>
    </row>
    <row r="188" spans="1:8" x14ac:dyDescent="0.2">
      <c r="A188" s="1">
        <v>93.91</v>
      </c>
      <c r="D188" s="1">
        <v>20149</v>
      </c>
      <c r="F188" s="1">
        <v>94.89</v>
      </c>
      <c r="H188" s="1">
        <v>20358</v>
      </c>
    </row>
    <row r="189" spans="1:8" x14ac:dyDescent="0.2">
      <c r="A189" s="1">
        <v>93.38</v>
      </c>
      <c r="D189" s="1">
        <v>44044</v>
      </c>
      <c r="F189" s="1">
        <v>94.06</v>
      </c>
      <c r="H189" s="1">
        <v>44363</v>
      </c>
    </row>
    <row r="190" spans="1:8" x14ac:dyDescent="0.2">
      <c r="A190" s="1">
        <v>93.63</v>
      </c>
      <c r="D190" s="1">
        <v>46541</v>
      </c>
      <c r="F190" s="1">
        <v>94.36</v>
      </c>
      <c r="H190" s="1">
        <v>46904</v>
      </c>
    </row>
    <row r="191" spans="1:8" x14ac:dyDescent="0.2">
      <c r="A191" s="1">
        <v>91.05</v>
      </c>
      <c r="D191" s="1">
        <v>42045</v>
      </c>
      <c r="F191" s="1">
        <v>91.86</v>
      </c>
      <c r="H191" s="1">
        <v>42418</v>
      </c>
    </row>
    <row r="192" spans="1:8" x14ac:dyDescent="0.2">
      <c r="A192" s="1">
        <v>91.91</v>
      </c>
      <c r="D192" s="1">
        <v>29035</v>
      </c>
      <c r="F192" s="1">
        <v>92.56</v>
      </c>
      <c r="H192" s="1">
        <v>29238</v>
      </c>
    </row>
    <row r="193" spans="1:8" x14ac:dyDescent="0.2">
      <c r="A193" s="1">
        <v>91.62</v>
      </c>
      <c r="D193" s="1">
        <v>31961</v>
      </c>
      <c r="F193" s="1">
        <v>92.51</v>
      </c>
      <c r="H193" s="1">
        <v>32274</v>
      </c>
    </row>
    <row r="194" spans="1:8" x14ac:dyDescent="0.2">
      <c r="A194" s="1">
        <v>88.95</v>
      </c>
      <c r="D194" s="1">
        <v>40043</v>
      </c>
      <c r="F194" s="1">
        <v>89.61</v>
      </c>
      <c r="H194" s="1">
        <v>40339</v>
      </c>
    </row>
    <row r="195" spans="1:8" x14ac:dyDescent="0.2">
      <c r="A195" s="1">
        <v>90.52</v>
      </c>
      <c r="D195" s="1">
        <v>46543</v>
      </c>
      <c r="F195" s="1">
        <v>91.17</v>
      </c>
      <c r="H195" s="1">
        <v>46882</v>
      </c>
    </row>
    <row r="196" spans="1:8" x14ac:dyDescent="0.2">
      <c r="A196" s="1">
        <v>91.93</v>
      </c>
      <c r="D196" s="1">
        <v>34843</v>
      </c>
      <c r="F196" s="1">
        <v>92.67</v>
      </c>
      <c r="H196" s="1">
        <v>35125</v>
      </c>
    </row>
    <row r="197" spans="1:8" x14ac:dyDescent="0.2">
      <c r="A197" s="1">
        <v>89.94</v>
      </c>
      <c r="D197" s="1">
        <v>43423</v>
      </c>
      <c r="F197" s="1">
        <v>90.57</v>
      </c>
      <c r="H197" s="1">
        <v>43728</v>
      </c>
    </row>
    <row r="198" spans="1:8" x14ac:dyDescent="0.2">
      <c r="A198" s="1">
        <v>89.3</v>
      </c>
      <c r="D198" s="1">
        <v>35735</v>
      </c>
      <c r="F198" s="1">
        <v>89.89</v>
      </c>
      <c r="H198" s="1">
        <v>35974</v>
      </c>
    </row>
    <row r="199" spans="1:8" x14ac:dyDescent="0.2">
      <c r="A199" s="1">
        <v>88.66</v>
      </c>
      <c r="D199" s="1">
        <v>39619</v>
      </c>
      <c r="F199" s="1">
        <v>90.94</v>
      </c>
      <c r="H199" s="1">
        <v>40637</v>
      </c>
    </row>
    <row r="200" spans="1:8" x14ac:dyDescent="0.2">
      <c r="A200" s="1">
        <v>90.93</v>
      </c>
      <c r="D200" s="1">
        <v>32558</v>
      </c>
      <c r="F200" s="1">
        <v>91.49</v>
      </c>
      <c r="H200" s="1">
        <v>32757</v>
      </c>
    </row>
    <row r="201" spans="1:8" x14ac:dyDescent="0.2">
      <c r="A201" s="1">
        <v>87.12</v>
      </c>
      <c r="D201" s="1">
        <v>25550</v>
      </c>
      <c r="F201" s="1">
        <v>87.9</v>
      </c>
      <c r="H201" s="1">
        <v>25780</v>
      </c>
    </row>
    <row r="202" spans="1:8" x14ac:dyDescent="0.2">
      <c r="A202" s="1">
        <v>87.28</v>
      </c>
      <c r="D202" s="1">
        <v>43073</v>
      </c>
      <c r="F202" s="1">
        <v>87.93</v>
      </c>
      <c r="H202" s="1">
        <v>43392</v>
      </c>
    </row>
    <row r="203" spans="1:8" x14ac:dyDescent="0.2">
      <c r="A203" s="1">
        <v>85.02</v>
      </c>
      <c r="D203" s="1">
        <v>33053</v>
      </c>
      <c r="F203" s="1">
        <v>85.96</v>
      </c>
      <c r="H203" s="1">
        <v>33420</v>
      </c>
    </row>
    <row r="204" spans="1:8" x14ac:dyDescent="0.2">
      <c r="A204" s="1">
        <v>83.97</v>
      </c>
      <c r="D204" s="1">
        <v>34860</v>
      </c>
      <c r="F204" s="1">
        <v>84.48</v>
      </c>
      <c r="H204" s="1">
        <v>35074</v>
      </c>
    </row>
    <row r="205" spans="1:8" x14ac:dyDescent="0.2">
      <c r="A205" s="1">
        <v>81.93</v>
      </c>
      <c r="D205" s="1">
        <v>35636</v>
      </c>
      <c r="F205" s="1">
        <v>82.68</v>
      </c>
      <c r="H205" s="1">
        <v>35960</v>
      </c>
    </row>
    <row r="206" spans="1:8" x14ac:dyDescent="0.2">
      <c r="A206" s="1">
        <v>87.18</v>
      </c>
      <c r="D206" s="1">
        <v>20301</v>
      </c>
      <c r="F206" s="1">
        <v>87.98</v>
      </c>
      <c r="H206" s="1">
        <v>20488</v>
      </c>
    </row>
    <row r="207" spans="1:8" x14ac:dyDescent="0.2">
      <c r="A207" s="1">
        <v>90.31</v>
      </c>
      <c r="D207" s="1">
        <v>32388</v>
      </c>
      <c r="F207" s="1">
        <v>90.95</v>
      </c>
      <c r="H207" s="1">
        <v>32618</v>
      </c>
    </row>
    <row r="208" spans="1:8" x14ac:dyDescent="0.2">
      <c r="A208" s="1">
        <v>87.11</v>
      </c>
      <c r="D208" s="1">
        <v>41020</v>
      </c>
      <c r="F208" s="1">
        <v>87.45</v>
      </c>
      <c r="H208" s="1">
        <v>41178</v>
      </c>
    </row>
    <row r="209" spans="1:8" x14ac:dyDescent="0.2">
      <c r="A209" s="1">
        <v>90.71</v>
      </c>
      <c r="D209" s="1">
        <v>42107</v>
      </c>
      <c r="F209" s="1">
        <v>91.62</v>
      </c>
      <c r="H209" s="1">
        <v>42528</v>
      </c>
    </row>
    <row r="210" spans="1:8" x14ac:dyDescent="0.2">
      <c r="A210" s="1">
        <v>90.17</v>
      </c>
      <c r="D210" s="1">
        <v>38289</v>
      </c>
      <c r="F210" s="1">
        <v>90.82</v>
      </c>
      <c r="H210" s="1">
        <v>38565</v>
      </c>
    </row>
    <row r="211" spans="1:8" x14ac:dyDescent="0.2">
      <c r="A211" s="1">
        <v>86.49</v>
      </c>
      <c r="D211" s="1">
        <v>31063</v>
      </c>
      <c r="F211" s="1">
        <v>87.23</v>
      </c>
      <c r="H211" s="1">
        <v>31331</v>
      </c>
    </row>
    <row r="212" spans="1:8" x14ac:dyDescent="0.2">
      <c r="A212" s="1">
        <v>86.47</v>
      </c>
      <c r="D212" s="1">
        <v>30510</v>
      </c>
      <c r="F212" s="1">
        <v>87.07</v>
      </c>
      <c r="H212" s="1">
        <v>30721</v>
      </c>
    </row>
    <row r="213" spans="1:8" x14ac:dyDescent="0.2">
      <c r="A213" s="1">
        <v>88.22</v>
      </c>
      <c r="D213" s="1">
        <v>47167</v>
      </c>
      <c r="F213" s="1">
        <v>88.84</v>
      </c>
      <c r="H213" s="1">
        <v>47500</v>
      </c>
    </row>
    <row r="214" spans="1:8" x14ac:dyDescent="0.2">
      <c r="A214" s="1">
        <v>90.62</v>
      </c>
      <c r="D214" s="1">
        <v>35341</v>
      </c>
      <c r="F214" s="1">
        <v>91.39</v>
      </c>
      <c r="H214" s="1">
        <v>35643</v>
      </c>
    </row>
    <row r="215" spans="1:8" x14ac:dyDescent="0.2">
      <c r="A215" s="1">
        <v>92.69</v>
      </c>
      <c r="D215" s="1">
        <v>42458</v>
      </c>
      <c r="F215" s="1">
        <v>93.52</v>
      </c>
      <c r="H215" s="1">
        <v>42839</v>
      </c>
    </row>
    <row r="217" spans="1:8" x14ac:dyDescent="0.2">
      <c r="A217" t="s">
        <v>3</v>
      </c>
      <c r="D217" t="s">
        <v>3</v>
      </c>
      <c r="F217" t="s">
        <v>3</v>
      </c>
      <c r="H217" t="s">
        <v>3</v>
      </c>
    </row>
    <row r="218" spans="1:8" x14ac:dyDescent="0.2">
      <c r="A218">
        <f>AVERAGE(A2:A215)</f>
        <v>89.864252336448629</v>
      </c>
      <c r="D218">
        <f>AVERAGE(D2:D215)</f>
        <v>35397.630841121492</v>
      </c>
      <c r="F218" s="2">
        <f>AVERAGE(F2:F215)</f>
        <v>90.620140186915904</v>
      </c>
      <c r="H218">
        <f>AVERAGE(H2:H215)</f>
        <v>35691.911214953274</v>
      </c>
    </row>
    <row r="220" spans="1:8" x14ac:dyDescent="0.2">
      <c r="H220" t="s">
        <v>4</v>
      </c>
    </row>
    <row r="221" spans="1:8" x14ac:dyDescent="0.2">
      <c r="H221" s="2">
        <f>SUM(H2:H215)</f>
        <v>7638069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D5C8-1B42-B14E-9BA2-E81FCFC73B83}">
  <dimension ref="A1:C79"/>
  <sheetViews>
    <sheetView tabSelected="1" topLeftCell="A52" workbookViewId="0">
      <selection activeCell="C79" activeCellId="1" sqref="A76 C79"/>
    </sheetView>
  </sheetViews>
  <sheetFormatPr baseColWidth="10" defaultRowHeight="16" x14ac:dyDescent="0.2"/>
  <sheetData>
    <row r="1" spans="1:3" x14ac:dyDescent="0.2">
      <c r="A1" t="s">
        <v>11</v>
      </c>
      <c r="C1" t="s">
        <v>2</v>
      </c>
    </row>
    <row r="2" spans="1:3" x14ac:dyDescent="0.2">
      <c r="A2" s="1">
        <v>94.56</v>
      </c>
      <c r="C2" s="1">
        <v>29438</v>
      </c>
    </row>
    <row r="3" spans="1:3" x14ac:dyDescent="0.2">
      <c r="A3" s="1">
        <v>95.44</v>
      </c>
      <c r="C3" s="1">
        <v>19485</v>
      </c>
    </row>
    <row r="4" spans="1:3" x14ac:dyDescent="0.2">
      <c r="A4" s="1">
        <v>93.25</v>
      </c>
      <c r="C4" s="1">
        <v>39193</v>
      </c>
    </row>
    <row r="5" spans="1:3" x14ac:dyDescent="0.2">
      <c r="A5" s="1">
        <v>89.19</v>
      </c>
      <c r="C5" s="1">
        <v>29826</v>
      </c>
    </row>
    <row r="6" spans="1:3" x14ac:dyDescent="0.2">
      <c r="A6" s="1">
        <v>93.71</v>
      </c>
      <c r="C6" s="1">
        <v>29097</v>
      </c>
    </row>
    <row r="7" spans="1:3" x14ac:dyDescent="0.2">
      <c r="A7" s="1">
        <v>92.92</v>
      </c>
      <c r="C7" s="1">
        <v>38022</v>
      </c>
    </row>
    <row r="8" spans="1:3" x14ac:dyDescent="0.2">
      <c r="A8" s="1">
        <v>92.36</v>
      </c>
      <c r="C8" s="1">
        <v>27681</v>
      </c>
    </row>
    <row r="9" spans="1:3" x14ac:dyDescent="0.2">
      <c r="A9" s="1">
        <v>93.59</v>
      </c>
      <c r="C9" s="1">
        <v>26010</v>
      </c>
    </row>
    <row r="10" spans="1:3" x14ac:dyDescent="0.2">
      <c r="A10" s="1">
        <v>92.24</v>
      </c>
      <c r="C10" s="1">
        <v>24850</v>
      </c>
    </row>
    <row r="11" spans="1:3" x14ac:dyDescent="0.2">
      <c r="A11" s="1">
        <v>88.58</v>
      </c>
      <c r="C11" s="1">
        <v>24294</v>
      </c>
    </row>
    <row r="12" spans="1:3" x14ac:dyDescent="0.2">
      <c r="A12" s="1">
        <v>93.33</v>
      </c>
      <c r="C12" s="1">
        <v>29075</v>
      </c>
    </row>
    <row r="13" spans="1:3" x14ac:dyDescent="0.2">
      <c r="A13" s="1">
        <v>93.31</v>
      </c>
      <c r="C13" s="1">
        <v>14974</v>
      </c>
    </row>
    <row r="14" spans="1:3" x14ac:dyDescent="0.2">
      <c r="A14" s="1">
        <v>91.9</v>
      </c>
      <c r="C14" s="1">
        <v>31306</v>
      </c>
    </row>
    <row r="15" spans="1:3" x14ac:dyDescent="0.2">
      <c r="A15" s="1">
        <v>91.31</v>
      </c>
      <c r="C15" s="1">
        <v>30192</v>
      </c>
    </row>
    <row r="16" spans="1:3" x14ac:dyDescent="0.2">
      <c r="A16" s="1">
        <v>85.08</v>
      </c>
      <c r="C16" s="1">
        <v>29120</v>
      </c>
    </row>
    <row r="17" spans="1:3" x14ac:dyDescent="0.2">
      <c r="A17" s="1">
        <v>92.65</v>
      </c>
      <c r="C17" s="1">
        <v>27952</v>
      </c>
    </row>
    <row r="18" spans="1:3" x14ac:dyDescent="0.2">
      <c r="A18" s="1">
        <v>92.7</v>
      </c>
      <c r="C18" s="1">
        <v>33254</v>
      </c>
    </row>
    <row r="19" spans="1:3" x14ac:dyDescent="0.2">
      <c r="A19" s="1">
        <v>92.7</v>
      </c>
      <c r="C19" s="1">
        <v>31188</v>
      </c>
    </row>
    <row r="20" spans="1:3" x14ac:dyDescent="0.2">
      <c r="A20" s="1">
        <v>94.82</v>
      </c>
      <c r="C20" s="1">
        <v>27459</v>
      </c>
    </row>
    <row r="21" spans="1:3" x14ac:dyDescent="0.2">
      <c r="A21" s="1">
        <v>93.11</v>
      </c>
      <c r="C21" s="1">
        <v>26575</v>
      </c>
    </row>
    <row r="22" spans="1:3" x14ac:dyDescent="0.2">
      <c r="A22" s="1">
        <v>93.41</v>
      </c>
      <c r="C22" s="1">
        <v>41971</v>
      </c>
    </row>
    <row r="23" spans="1:3" x14ac:dyDescent="0.2">
      <c r="A23" s="1">
        <v>94.78</v>
      </c>
      <c r="C23" s="1">
        <v>26054</v>
      </c>
    </row>
    <row r="24" spans="1:3" x14ac:dyDescent="0.2">
      <c r="A24" s="1">
        <v>95.53</v>
      </c>
      <c r="C24" s="1">
        <v>35069</v>
      </c>
    </row>
    <row r="25" spans="1:3" x14ac:dyDescent="0.2">
      <c r="A25" s="1">
        <v>94.92</v>
      </c>
      <c r="C25" s="1">
        <v>34957</v>
      </c>
    </row>
    <row r="26" spans="1:3" x14ac:dyDescent="0.2">
      <c r="A26" s="1">
        <v>95.37</v>
      </c>
      <c r="C26" s="1">
        <v>13047</v>
      </c>
    </row>
    <row r="27" spans="1:3" x14ac:dyDescent="0.2">
      <c r="A27" s="1">
        <v>89.73</v>
      </c>
      <c r="C27" s="1">
        <v>33087</v>
      </c>
    </row>
    <row r="28" spans="1:3" x14ac:dyDescent="0.2">
      <c r="A28" s="1">
        <v>94.56</v>
      </c>
      <c r="C28" s="1">
        <v>32289</v>
      </c>
    </row>
    <row r="29" spans="1:3" x14ac:dyDescent="0.2">
      <c r="A29" s="1">
        <v>93.42</v>
      </c>
      <c r="C29" s="1">
        <v>29709</v>
      </c>
    </row>
    <row r="30" spans="1:3" x14ac:dyDescent="0.2">
      <c r="A30" s="1">
        <v>89.5</v>
      </c>
      <c r="C30" s="1">
        <v>45763</v>
      </c>
    </row>
    <row r="31" spans="1:3" x14ac:dyDescent="0.2">
      <c r="A31" s="1">
        <v>89</v>
      </c>
      <c r="C31" s="1">
        <v>38723</v>
      </c>
    </row>
    <row r="32" spans="1:3" x14ac:dyDescent="0.2">
      <c r="A32" s="1">
        <v>94.26</v>
      </c>
      <c r="C32" s="1">
        <v>24816</v>
      </c>
    </row>
    <row r="33" spans="1:3" x14ac:dyDescent="0.2">
      <c r="A33" s="1">
        <v>95.08</v>
      </c>
      <c r="C33" s="1">
        <v>29682</v>
      </c>
    </row>
    <row r="34" spans="1:3" x14ac:dyDescent="0.2">
      <c r="A34" s="1">
        <v>94.43</v>
      </c>
      <c r="C34" s="1">
        <v>14453</v>
      </c>
    </row>
    <row r="35" spans="1:3" x14ac:dyDescent="0.2">
      <c r="A35" s="1">
        <v>93.24</v>
      </c>
      <c r="C35" s="1">
        <v>34976</v>
      </c>
    </row>
    <row r="36" spans="1:3" x14ac:dyDescent="0.2">
      <c r="A36" s="1">
        <v>80.97</v>
      </c>
      <c r="C36" s="1">
        <v>23252</v>
      </c>
    </row>
    <row r="37" spans="1:3" x14ac:dyDescent="0.2">
      <c r="A37" s="1">
        <v>94.05</v>
      </c>
      <c r="C37" s="1">
        <v>29665</v>
      </c>
    </row>
    <row r="38" spans="1:3" x14ac:dyDescent="0.2">
      <c r="A38" s="1">
        <v>87.83</v>
      </c>
      <c r="C38" s="1">
        <v>29440</v>
      </c>
    </row>
    <row r="39" spans="1:3" x14ac:dyDescent="0.2">
      <c r="A39" s="1">
        <v>91.14</v>
      </c>
      <c r="C39" s="1">
        <v>43542</v>
      </c>
    </row>
    <row r="40" spans="1:3" x14ac:dyDescent="0.2">
      <c r="A40" s="1">
        <v>76.22</v>
      </c>
      <c r="C40" s="1">
        <v>26252</v>
      </c>
    </row>
    <row r="41" spans="1:3" x14ac:dyDescent="0.2">
      <c r="A41" s="1">
        <v>92.26</v>
      </c>
      <c r="C41" s="1">
        <v>29211</v>
      </c>
    </row>
    <row r="42" spans="1:3" x14ac:dyDescent="0.2">
      <c r="A42" s="1">
        <v>92.03</v>
      </c>
      <c r="C42" s="1">
        <v>28748</v>
      </c>
    </row>
    <row r="43" spans="1:3" x14ac:dyDescent="0.2">
      <c r="A43" s="1">
        <v>88.1</v>
      </c>
      <c r="C43" s="1">
        <v>18128</v>
      </c>
    </row>
    <row r="44" spans="1:3" x14ac:dyDescent="0.2">
      <c r="A44" s="1">
        <v>89.69</v>
      </c>
      <c r="C44" s="1">
        <v>31004</v>
      </c>
    </row>
    <row r="45" spans="1:3" x14ac:dyDescent="0.2">
      <c r="A45" s="1">
        <v>91.38</v>
      </c>
      <c r="C45" s="1">
        <v>28823</v>
      </c>
    </row>
    <row r="46" spans="1:3" x14ac:dyDescent="0.2">
      <c r="A46" s="1">
        <v>92.68</v>
      </c>
      <c r="C46" s="1">
        <v>32635</v>
      </c>
    </row>
    <row r="47" spans="1:3" x14ac:dyDescent="0.2">
      <c r="A47" s="1">
        <v>93.09</v>
      </c>
      <c r="C47" s="1">
        <v>32003</v>
      </c>
    </row>
    <row r="48" spans="1:3" x14ac:dyDescent="0.2">
      <c r="A48" s="1">
        <v>89.58</v>
      </c>
      <c r="C48" s="1">
        <v>29858</v>
      </c>
    </row>
    <row r="49" spans="1:3" x14ac:dyDescent="0.2">
      <c r="A49" s="1">
        <v>92.36</v>
      </c>
      <c r="C49" s="1">
        <v>21426</v>
      </c>
    </row>
    <row r="50" spans="1:3" x14ac:dyDescent="0.2">
      <c r="A50" s="1">
        <v>92.42</v>
      </c>
      <c r="C50" s="1">
        <v>36217</v>
      </c>
    </row>
    <row r="51" spans="1:3" x14ac:dyDescent="0.2">
      <c r="A51" s="1">
        <v>90.38</v>
      </c>
      <c r="C51" s="1">
        <v>30532</v>
      </c>
    </row>
    <row r="52" spans="1:3" x14ac:dyDescent="0.2">
      <c r="A52" s="1">
        <v>89.72</v>
      </c>
      <c r="C52" s="1">
        <v>31281</v>
      </c>
    </row>
    <row r="53" spans="1:3" x14ac:dyDescent="0.2">
      <c r="A53" s="1">
        <v>82.76</v>
      </c>
      <c r="C53" s="1">
        <v>31237</v>
      </c>
    </row>
    <row r="54" spans="1:3" x14ac:dyDescent="0.2">
      <c r="A54" s="1">
        <v>87.17</v>
      </c>
      <c r="C54" s="1">
        <v>29698</v>
      </c>
    </row>
    <row r="55" spans="1:3" x14ac:dyDescent="0.2">
      <c r="A55" s="1">
        <v>90.05</v>
      </c>
      <c r="C55" s="1">
        <v>27307</v>
      </c>
    </row>
    <row r="56" spans="1:3" x14ac:dyDescent="0.2">
      <c r="A56" s="1">
        <v>94.7</v>
      </c>
      <c r="C56" s="1">
        <v>29913</v>
      </c>
    </row>
    <row r="57" spans="1:3" x14ac:dyDescent="0.2">
      <c r="A57" s="1">
        <v>93.4</v>
      </c>
      <c r="C57" s="1">
        <v>28355</v>
      </c>
    </row>
    <row r="58" spans="1:3" x14ac:dyDescent="0.2">
      <c r="A58" s="1">
        <v>94.1</v>
      </c>
      <c r="C58" s="1">
        <v>33632</v>
      </c>
    </row>
    <row r="59" spans="1:3" x14ac:dyDescent="0.2">
      <c r="A59" s="1">
        <v>93</v>
      </c>
      <c r="C59" s="1">
        <v>29183</v>
      </c>
    </row>
    <row r="60" spans="1:3" x14ac:dyDescent="0.2">
      <c r="A60" s="1">
        <v>90.52</v>
      </c>
      <c r="C60" s="1">
        <v>18885</v>
      </c>
    </row>
    <row r="61" spans="1:3" x14ac:dyDescent="0.2">
      <c r="A61" s="1">
        <v>88.07</v>
      </c>
      <c r="C61" s="1">
        <v>26254</v>
      </c>
    </row>
    <row r="62" spans="1:3" x14ac:dyDescent="0.2">
      <c r="A62" s="1">
        <v>84.99</v>
      </c>
      <c r="C62" s="1">
        <v>30392</v>
      </c>
    </row>
    <row r="63" spans="1:3" x14ac:dyDescent="0.2">
      <c r="A63" s="1">
        <v>90.52</v>
      </c>
      <c r="C63" s="1">
        <v>27055</v>
      </c>
    </row>
    <row r="64" spans="1:3" x14ac:dyDescent="0.2">
      <c r="A64" s="1">
        <v>93.36</v>
      </c>
      <c r="C64" s="1">
        <v>33780</v>
      </c>
    </row>
    <row r="65" spans="1:3" x14ac:dyDescent="0.2">
      <c r="A65" s="1">
        <v>86.48</v>
      </c>
      <c r="C65" s="1">
        <v>39097</v>
      </c>
    </row>
    <row r="66" spans="1:3" x14ac:dyDescent="0.2">
      <c r="A66" s="1">
        <v>85.8</v>
      </c>
      <c r="C66" s="1">
        <v>29303</v>
      </c>
    </row>
    <row r="67" spans="1:3" x14ac:dyDescent="0.2">
      <c r="A67" s="1">
        <v>84.95</v>
      </c>
      <c r="C67" s="1">
        <v>19032</v>
      </c>
    </row>
    <row r="68" spans="1:3" x14ac:dyDescent="0.2">
      <c r="A68" s="1">
        <v>86.36</v>
      </c>
      <c r="C68" s="1">
        <v>29582</v>
      </c>
    </row>
    <row r="69" spans="1:3" x14ac:dyDescent="0.2">
      <c r="A69" s="1">
        <v>85.99</v>
      </c>
      <c r="C69" s="1">
        <v>21733</v>
      </c>
    </row>
    <row r="70" spans="1:3" x14ac:dyDescent="0.2">
      <c r="A70" s="1">
        <v>87.37</v>
      </c>
      <c r="C70" s="1">
        <v>31980</v>
      </c>
    </row>
    <row r="71" spans="1:3" x14ac:dyDescent="0.2">
      <c r="A71" s="1">
        <v>94.62</v>
      </c>
      <c r="C71" s="1">
        <v>20532</v>
      </c>
    </row>
    <row r="72" spans="1:3" x14ac:dyDescent="0.2">
      <c r="A72" s="1">
        <v>89.83</v>
      </c>
      <c r="C72" s="1">
        <v>33199</v>
      </c>
    </row>
    <row r="73" spans="1:3" x14ac:dyDescent="0.2">
      <c r="A73" s="1">
        <v>92.97</v>
      </c>
      <c r="C73" s="1">
        <v>28732</v>
      </c>
    </row>
    <row r="75" spans="1:3" x14ac:dyDescent="0.2">
      <c r="A75" t="s">
        <v>3</v>
      </c>
      <c r="C75" t="s">
        <v>3</v>
      </c>
    </row>
    <row r="76" spans="1:3" x14ac:dyDescent="0.2">
      <c r="A76" s="2">
        <f>AVERAGE(A2:A73)</f>
        <v>91.040138888888876</v>
      </c>
      <c r="C76">
        <f>AVERAGE(C2:C73)</f>
        <v>29228.958333333332</v>
      </c>
    </row>
    <row r="78" spans="1:3" x14ac:dyDescent="0.2">
      <c r="C78" t="s">
        <v>12</v>
      </c>
    </row>
    <row r="79" spans="1:3" x14ac:dyDescent="0.2">
      <c r="C79" s="2">
        <f>SUM(C2:C73)</f>
        <v>2104485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070726 stats</vt:lpstr>
      <vt:lpstr>093026 stats</vt:lpstr>
      <vt:lpstr>091726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Tupitza</dc:creator>
  <cp:lastModifiedBy>Jill Tupitza</cp:lastModifiedBy>
  <dcterms:created xsi:type="dcterms:W3CDTF">2026-09-23T21:18:21Z</dcterms:created>
  <dcterms:modified xsi:type="dcterms:W3CDTF">2026-10-05T21:58:15Z</dcterms:modified>
</cp:coreProperties>
</file>